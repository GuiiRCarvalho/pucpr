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ronograma" sheetId="2" r:id="rId5"/>
    <sheet state="visible" name="Riscos" sheetId="3" r:id="rId6"/>
    <sheet state="visible" name="Recursos e Custos" sheetId="4" r:id="rId7"/>
    <sheet state="visible" name="Parâmetros" sheetId="5" r:id="rId8"/>
    <sheet state="visible" name="Controle_Status" sheetId="6" r:id="rId9"/>
    <sheet state="visible" name="Marcos" sheetId="7" r:id="rId10"/>
    <sheet state="visible" name="Partes Interessadas" sheetId="8" r:id="rId11"/>
    <sheet state="visible" name="Dados" sheetId="9" r:id="rId12"/>
  </sheets>
  <definedNames/>
  <calcPr/>
  <extLst>
    <ext uri="GoogleSheetsCustomDataVersion2">
      <go:sheetsCustomData xmlns:go="http://customooxmlschemas.google.com/" r:id="rId13" roundtripDataChecksum="3/2uvz95KyoggcHogmwyT2EFk5mh/sf8qnHlTFggEG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ID#AAAB7x_V09c
Unknown Author    (2026-06-01 21:36:46)
Calculado: soma de (custo da tarefa × % Real) no Cronograma. Reflete o pago pelo trabalho efetivamente feito.</t>
      </text>
    </comment>
    <comment authorId="0" ref="C16">
      <text>
        <t xml:space="preserve">======
ID#AAAB7x_V09U
Unknown Author    (2026-06-01 02:04:52)
Valor-hora de desenvolvedores e marketing.</t>
      </text>
    </comment>
    <comment authorId="0" ref="C15">
      <text>
        <t xml:space="preserve">======
ID#AAAB7x_V09Y
Unknown Author    (2026-06-01 02:04:52)
Valor-hora de GP e PM.</t>
      </text>
    </comment>
    <comment authorId="0" ref="C13">
      <text>
        <t xml:space="preserve">======
ID#AAAB7x_V09g
Unknown Author    (2026-06-01 02:04:52)
Orçamento total aprovado no TAP.</t>
      </text>
    </comment>
  </commentList>
  <extLst>
    <ext uri="GoogleSheetsCustomDataVersion2">
      <go:sheetsCustomData xmlns:go="http://customooxmlschemas.google.com/" r:id="rId1" roundtripDataSignature="AMtx7mjK/wWpgA6k592ZluUAwHd+gBvkKQ=="/>
    </ext>
  </extLst>
</comments>
</file>

<file path=xl/sharedStrings.xml><?xml version="1.0" encoding="utf-8"?>
<sst xmlns="http://schemas.openxmlformats.org/spreadsheetml/2006/main" count="688" uniqueCount="402">
  <si>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</si>
  <si>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</si>
  <si>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</si>
  <si>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</si>
  <si>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</si>
  <si>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</si>
  <si>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</si>
  <si>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INDICADORES DE PRAZO E CUSTO (EVM)</t>
  </si>
  <si>
    <t>Indicador</t>
  </si>
  <si>
    <t>Valor</t>
  </si>
  <si>
    <t>Faixa OK</t>
  </si>
  <si>
    <t>●</t>
  </si>
  <si>
    <t>Interpretação</t>
  </si>
  <si>
    <t>📌 SITUAÇÃO DAS ATIVIDADES</t>
  </si>
  <si>
    <t>SPI — Prazo</t>
  </si>
  <si>
    <t>≥ 0,95</t>
  </si>
  <si>
    <t>CPI — Custo</t>
  </si>
  <si>
    <t>Concluídas</t>
  </si>
  <si>
    <t>Em Execução</t>
  </si>
  <si>
    <t>EV — Valor Agregado</t>
  </si>
  <si>
    <t>CV — Variação Custo (R$)</t>
  </si>
  <si>
    <t>≥ 0</t>
  </si>
  <si>
    <t>SV — Variação Prazo (R$)</t>
  </si>
  <si>
    <t>Atrasadas</t>
  </si>
  <si>
    <t>Não Iniciadas</t>
  </si>
  <si>
    <t>PV — Valor Planejado</t>
  </si>
  <si>
    <t>📈  INDICADORES VISUAIS</t>
  </si>
  <si>
    <t>🎯  PRÓXIMOS MARCOS</t>
  </si>
  <si>
    <t>⚠  TOP 5 RISCOS (dinâmico — vem da aba Riscos)</t>
  </si>
  <si>
    <t>Marco</t>
  </si>
  <si>
    <t>Data</t>
  </si>
  <si>
    <t>Situação</t>
  </si>
  <si>
    <t>Risco</t>
  </si>
  <si>
    <t>Sev.</t>
  </si>
  <si>
    <t>Nível</t>
  </si>
  <si>
    <t>🛑  PROBLEMAS / IMPEDIMENTOS ATUAIS</t>
  </si>
  <si>
    <t>Descrição</t>
  </si>
  <si>
    <t>Impacto</t>
  </si>
  <si>
    <t>Severidade</t>
  </si>
  <si>
    <t>Responsável</t>
  </si>
  <si>
    <t>MUD-01 · Saída de desenvolvedor (Dev #3) durante a execução</t>
  </si>
  <si>
    <t>Perda de capacidade; ~137h redistribuídas a Dev #1/#2 (margem ~130h)</t>
  </si>
  <si>
    <t>Alta</t>
  </si>
  <si>
    <t>GP</t>
  </si>
  <si>
    <t>Atraso de cronograma: avanço real 40% vs 62% planejado (~22 p.p.)</t>
  </si>
  <si>
    <t>Prazo 01/07/2026 mantido condicionalmente — replanning imediato</t>
  </si>
  <si>
    <t>MUD-02 · Novo perfil de acesso, permissões e segurança (+39h)</t>
  </si>
  <si>
    <t>Escopo ampliado na Fase 3 (Dev #2); +R$ 975 no custo</t>
  </si>
  <si>
    <t>Média</t>
  </si>
  <si>
    <t>GP / Dev #2</t>
  </si>
  <si>
    <t>Sobrecarga dos devs remanescentes e cobertura de testes</t>
  </si>
  <si>
    <t>Risco de erros/retrabalho; reforço de pair review</t>
  </si>
  <si>
    <t>GP / Devs</t>
  </si>
  <si>
    <t>📅  CRONOGRAMA — KYBERNUS CLI   (edite Horas, Responsável e % Real → tudo recalcula)</t>
  </si>
  <si>
    <t>Custo Real</t>
  </si>
  <si>
    <t>ID</t>
  </si>
  <si>
    <t>EAP</t>
  </si>
  <si>
    <t>Tarefa</t>
  </si>
  <si>
    <t>Início</t>
  </si>
  <si>
    <t>Término</t>
  </si>
  <si>
    <t>Dur</t>
  </si>
  <si>
    <t>Horas</t>
  </si>
  <si>
    <t>% Real</t>
  </si>
  <si>
    <t>EV (h)</t>
  </si>
  <si>
    <t>PV (h)</t>
  </si>
  <si>
    <t>PM</t>
  </si>
  <si>
    <t>Dev #1</t>
  </si>
  <si>
    <t>Dev #2</t>
  </si>
  <si>
    <t>Dev #3</t>
  </si>
  <si>
    <t>MKT</t>
  </si>
  <si>
    <t>Custo (R$)</t>
  </si>
  <si>
    <t>Custo Real (R$)</t>
  </si>
  <si>
    <t>FASE 1 · Gerenciamento do Projeto</t>
  </si>
  <si>
    <t>1.1</t>
  </si>
  <si>
    <t>Elaborar o Termo de Abertura do Projeto (TAP)</t>
  </si>
  <si>
    <t>Apresentar e obter aprovação da patrocinadora</t>
  </si>
  <si>
    <t>Designar formalmente o gerente do projeto</t>
  </si>
  <si>
    <t>PAT</t>
  </si>
  <si>
    <t>1.2</t>
  </si>
  <si>
    <t>Construir a EAP (fases e subentregas)</t>
  </si>
  <si>
    <t>GP+PM</t>
  </si>
  <si>
    <t>Elaborar o Dicionário da EAP</t>
  </si>
  <si>
    <t>Definir e documentar processo de controle de mudanças</t>
  </si>
  <si>
    <t>1.3</t>
  </si>
  <si>
    <t>Identificar e classificar os stakeholders</t>
  </si>
  <si>
    <t>Elaborar mapa e registro de stakeholders</t>
  </si>
  <si>
    <t>Definir estratégia de engajamento e plano de comunicação</t>
  </si>
  <si>
    <t>1.4</t>
  </si>
  <si>
    <t>Identificar e descrever os riscos</t>
  </si>
  <si>
    <t>Analisar probabilidade e impacto (matriz P×I)</t>
  </si>
  <si>
    <t>Definir planos de resposta e contingência</t>
  </si>
  <si>
    <t>1.5</t>
  </si>
  <si>
    <t>Realizar reuniões semanais e registrar atas</t>
  </si>
  <si>
    <t>Emitir status reports periódicos</t>
  </si>
  <si>
    <t>Monitorar cronograma, custos e riscos</t>
  </si>
  <si>
    <t>1.6</t>
  </si>
  <si>
    <t>Elaborar relatório final de desempenho</t>
  </si>
  <si>
    <t>Consolidar lições aprendidas com a equipe</t>
  </si>
  <si>
    <t>Obter aceite formal da patrocinadora</t>
  </si>
  <si>
    <t>FASE 2 · Definição e Design</t>
  </si>
  <si>
    <t>2.1</t>
  </si>
  <si>
    <t>Levantar e documentar RFs e RNFs com stakeholders</t>
  </si>
  <si>
    <t>PM+GP</t>
  </si>
  <si>
    <t>Priorizar requisitos com PM (Alta/Média/Baixa)</t>
  </si>
  <si>
    <t>Definir critérios de aceite por requisito</t>
  </si>
  <si>
    <t>2.2</t>
  </si>
  <si>
    <t>Definir arquitetura dos 4 módulos do CLI</t>
  </si>
  <si>
    <t>Dev #1+Dev #2+Dev #3</t>
  </si>
  <si>
    <t>Especificar contratos de interface entre módulos</t>
  </si>
  <si>
    <t>Validar e decidir serviços externos</t>
  </si>
  <si>
    <t>Dev #1+Dev #2+Dev #3+PM</t>
  </si>
  <si>
    <t>Pesquisar e selecionar fornecedores dos serviços externos (Gemini, PostHog, Supabase, npm, Vercel)</t>
  </si>
  <si>
    <t>Avaliar planos gratuitos, limites técnicos e termos de uso (free tier)</t>
  </si>
  <si>
    <t>Aprovar formalmente as aquisições com a patrocinadora (custo R$ 0 — planos gratuitos)</t>
  </si>
  <si>
    <t>Provisionar contas e chaves de acesso (Google Gemini API, PostHog, Supabase)</t>
  </si>
  <si>
    <t>Registrar conta/organização no npm e provisionar deploy na Vercel/Netlify</t>
  </si>
  <si>
    <t>Validar disponibilidade e limites dos serviços adquiridos (atende à necessidade do projeto)</t>
  </si>
  <si>
    <t>2.3</t>
  </si>
  <si>
    <t>Especificar templates por stack (6 linguagens)</t>
  </si>
  <si>
    <t>Especificar templates por arquitetura</t>
  </si>
  <si>
    <t>2.4</t>
  </si>
  <si>
    <t>Desenhar fluxo interativo com menus visuais</t>
  </si>
  <si>
    <t>Especificar flags não-interativas</t>
  </si>
  <si>
    <t>Definir formato do painel de next steps</t>
  </si>
  <si>
    <t>Dev #3+PM</t>
  </si>
  <si>
    <t>2.5</t>
  </si>
  <si>
    <t>Revisar escopo técnico com toda a equipe</t>
  </si>
  <si>
    <t>Registrar baseline do escopo e comunicar à equipe</t>
  </si>
  <si>
    <t>FASE 3 · Implementação das Funcionalidades</t>
  </si>
  <si>
    <t>3.1</t>
  </si>
  <si>
    <t>Implementar interface interativa com menus (RF01–RF04)</t>
  </si>
  <si>
    <t>Implementar flags não-interativas e modo CI/CD (RF15)</t>
  </si>
  <si>
    <t>Implementar kybernus doctor — verificação de ambiente</t>
  </si>
  <si>
    <t>3.2</t>
  </si>
  <si>
    <t>Implementar geração de estrutura por stack + arquitetura</t>
  </si>
  <si>
    <t>Implementar templates Node.js+Express e NestJS (RF21)</t>
  </si>
  <si>
    <t>Implementar templates FastAPI e Spring Boot (RF22,RF23)</t>
  </si>
  <si>
    <t>Implementar templates Next.js e n8n</t>
  </si>
  <si>
    <t>Gerar arquivos base: .env, ESLint, Prettier (RF20)</t>
  </si>
  <si>
    <t>3.3</t>
  </si>
  <si>
    <t>Implementar geração de Docker + GH Actions + Terraform</t>
  </si>
  <si>
    <t>Implementar kybernus deploy (Vercel, Railway…) (RF13)</t>
  </si>
  <si>
    <t>Implementar suporte a template customizado via GitHub</t>
  </si>
  <si>
    <t>3.4</t>
  </si>
  <si>
    <t>Implementar kybernus add swagger, redis (RF08,RF09)</t>
  </si>
  <si>
    <t>Implementar kybernus add websocket, husky (RF10,RF11)</t>
  </si>
  <si>
    <t>Implementar kybernus auth — boilerplate JWT (RF12)</t>
  </si>
  <si>
    <t>Garantir compatibilidade com projetos externos (RF07)</t>
  </si>
  <si>
    <t>3.5</t>
  </si>
  <si>
    <t>Integrar API Google Gemini ao módulo (RF06)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</si>
  <si>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</si>
  <si>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</si>
  <si>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</si>
  <si>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</si>
  <si>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</si>
  <si>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</si>
  <si>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Dev #3+GP</t>
  </si>
  <si>
    <t>3.7</t>
  </si>
  <si>
    <t>Publicar ferramenta no npm (RF24)</t>
  </si>
  <si>
    <t>Configurar CI/CD do próprio projeto Kybernus</t>
  </si>
  <si>
    <t>3.8</t>
  </si>
  <si>
    <t>Mapear novo perfil de acesso (MUD-02)</t>
  </si>
  <si>
    <t>3.9</t>
  </si>
  <si>
    <t>Implementar novo perfil de acesso (MUD-02)</t>
  </si>
  <si>
    <t>Implementar regras de permissão (MUD-02)</t>
  </si>
  <si>
    <t>Ajustes de segurança e revisão (MUD-02)</t>
  </si>
  <si>
    <t>FASE 4 · Testes e Documentação</t>
  </si>
  <si>
    <t>4.1</t>
  </si>
  <si>
    <t>Escrever testes unitários por módulo (RNF04)</t>
  </si>
  <si>
    <t>Dev #1+Dev #2</t>
  </si>
  <si>
    <t>Escrever testes de integração entre módulos</t>
  </si>
  <si>
    <t>Validar sintaxe de arquivos gerados</t>
  </si>
  <si>
    <t>4.2</t>
  </si>
  <si>
    <t>Recrutar ≥5 desenvolvedores externos para testes</t>
  </si>
  <si>
    <t>Conduzir sessões de instalação e geração sem auxílio</t>
  </si>
  <si>
    <t>Dev #1+Dev #2+GP</t>
  </si>
  <si>
    <t>Registrar resultados e validar meta de 80% de sucesso</t>
  </si>
  <si>
    <t>4.3</t>
  </si>
  <si>
    <t>Verificar checklist formal dos critérios do TAP</t>
  </si>
  <si>
    <t>Elaborar relatório de validação interna</t>
  </si>
  <si>
    <t>4.4</t>
  </si>
  <si>
    <t>Elaborar guia de contribuição open-source</t>
  </si>
  <si>
    <t>Documentar módulos internos</t>
  </si>
  <si>
    <t>4.5</t>
  </si>
  <si>
    <t>Escrever guia de instalação e uso</t>
  </si>
  <si>
    <t>Dev #1+PM</t>
  </si>
  <si>
    <t>Documentar referência de comandos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</si>
  <si>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</si>
  <si>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</si>
  <si>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</si>
  <si>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</si>
  <si>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</si>
  <si>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</si>
  <si>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</si>
  <si>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</si>
  <si>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</si>
  <si>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</si>
  <si>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</si>
  <si>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Produzir conteúdo para divulgação</t>
  </si>
  <si>
    <t>Redigir comunicado oficial de lançamento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</si>
  <si>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</si>
  <si>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</si>
  <si>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</si>
  <si>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</si>
  <si>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</si>
  <si>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</si>
  <si>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</si>
  <si>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</si>
  <si>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</si>
  <si>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⚠  MATRIZ DE RISCOS — edite Prob. e Imp.; a Severidade e o Top-5 do Dashboard recalculam</t>
  </si>
  <si>
    <t>Cód.</t>
  </si>
  <si>
    <t>Descrição do Risco</t>
  </si>
  <si>
    <t>Categoria</t>
  </si>
  <si>
    <t>Prob.</t>
  </si>
  <si>
    <t>Imp.</t>
  </si>
  <si>
    <t>Ação</t>
  </si>
  <si>
    <t>Estimativas de prazo incorretas na fase de planejamento gerando atrasos no cronograma</t>
  </si>
  <si>
    <t>Gestão do projeto</t>
  </si>
  <si>
    <t>Mitigar</t>
  </si>
  <si>
    <t>Gerente do Projeto</t>
  </si>
  <si>
    <t>Mudanças no escopo não controladas</t>
  </si>
  <si>
    <t>Falha na comunicação entre os membros da equipe gerando retrabalho</t>
  </si>
  <si>
    <t>Entregas não atenderem aos critérios de aceitação definidos no TAP</t>
  </si>
  <si>
    <t>Técnico</t>
  </si>
  <si>
    <t>Falta de revisão do plano de projeto</t>
  </si>
  <si>
    <t>Disponibilidade limitada da equipe impactando o cronograma</t>
  </si>
  <si>
    <t>Organizacional</t>
  </si>
  <si>
    <t>Aceitar</t>
  </si>
  <si>
    <t>Saída de um integrante da equipe durante o projeto</t>
  </si>
  <si>
    <t>Dependência excessiva de um único integrante em partes críticas do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</si>
  <si>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</si>
  <si>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</si>
  <si>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</si>
  <si>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Incompatibilidade entre os módulos durante a integração da ferramenta</t>
  </si>
  <si>
    <t>Desenvolvedores</t>
  </si>
  <si>
    <t>Mudanças estruturais em frameworks suportados quebrando os templates gerados</t>
  </si>
  <si>
    <t>Baixa qualidade das saídas geradas pela IA devido a prompts mal calibrados</t>
  </si>
  <si>
    <t>Falha de segurança na transmissão dos dados de telemetria expondo informações dos usuários</t>
  </si>
  <si>
    <t>Tranferir</t>
  </si>
  <si>
    <t>Falha na publicação ou distribuição via npm impedindo o acesso dos usuários</t>
  </si>
  <si>
    <t>Indisponibilidade da API de IA utilizada para geração de documentação</t>
  </si>
  <si>
    <t>Aquisições</t>
  </si>
  <si>
    <t>Instabilidade dos serviços externos (Supabase, PostHog) impactando o desenvolvimento</t>
  </si>
  <si>
    <t>Externo</t>
  </si>
  <si>
    <t>Alterações na LGPD ou regulamentações de privacidade exigindo ajustes no módulo de telemetria</t>
  </si>
  <si>
    <t>Gerente de Projetos</t>
  </si>
  <si>
    <t>Baixa adoção da ferramenta pelo público-alvo após o lançamento</t>
  </si>
  <si>
    <t>Consultor de Marketing</t>
  </si>
  <si>
    <t>Estouro de orçamento sem aprovação prévia da patrocinadora comprometendo a continuidade do projeto</t>
  </si>
  <si>
    <t>Sobrecarga e erros dos devs remanescentes após desligamento (MUD-01)</t>
  </si>
  <si>
    <t>Atraso no prazo final 01/07 devido à defasagem e redistribuição (MUD-01)</t>
  </si>
  <si>
    <t>Perda de conhecimento técnico do desenvolvedor desligado (MUD-01)</t>
  </si>
  <si>
    <t>Falha de segurança no novo módulo de acesso e permissões (MUD-02)</t>
  </si>
  <si>
    <t>Dev #2 / Dev Líder</t>
  </si>
  <si>
    <t>Atraso nas Fases 3 e 4 pelo acréscimo de 39h de escopo (MUD-02)</t>
  </si>
  <si>
    <t>Critérios de aceite insuficientes para o novo perfil de usuário (MUD-02)</t>
  </si>
  <si>
    <t>Product Manager</t>
  </si>
  <si>
    <t>Severidade = Prob × Imp (1–5). Alto ≥15 · Médio 8–14 · Baixo ≤7. Fonte: PlanoDeRiscos_GP02.</t>
  </si>
  <si>
    <t>👥  ALOCAÇÃO DE RECURSOS — horas vêm do Cronograma (SUM por responsável)</t>
  </si>
  <si>
    <t>Integrante</t>
  </si>
  <si>
    <t>Função</t>
  </si>
  <si>
    <t>Limite TAP (h)</t>
  </si>
  <si>
    <t>Planejadas (h)</t>
  </si>
  <si>
    <t>% Util.</t>
  </si>
  <si>
    <t>Saldo (h)</t>
  </si>
  <si>
    <t>Status</t>
  </si>
  <si>
    <t>Observação</t>
  </si>
  <si>
    <t>Guilherme Marafon</t>
  </si>
  <si>
    <t>Giulia Castelucci</t>
  </si>
  <si>
    <t>Vinícius Trevisan</t>
  </si>
  <si>
    <t>Desenvolvedor</t>
  </si>
  <si>
    <t>Guilherme Reis</t>
  </si>
  <si>
    <t>Amanda Freire</t>
  </si>
  <si>
    <t>DESLIGADA — tarefas remanescentes redistribuídas</t>
  </si>
  <si>
    <t>Valentina Lago</t>
  </si>
  <si>
    <t>Marketing</t>
  </si>
  <si>
    <t>💰  CUSTOS — Custo Planejado = horas (cronograma) × rate</t>
  </si>
  <si>
    <t>Horas Planej.</t>
  </si>
  <si>
    <t>R$/h</t>
  </si>
  <si>
    <t>Custo Planejado</t>
  </si>
  <si>
    <t>Custo TAP</t>
  </si>
  <si>
    <t>Diferença</t>
  </si>
  <si>
    <t>TOTAL</t>
  </si>
  <si>
    <t>Diferença = Custo Planejado − Custo TAP.  Vermelho = estoura o teto · Verde = sobra (folga).</t>
  </si>
  <si>
    <t>💸  CUSTO POR FASE (calculado do cronograma)</t>
  </si>
  <si>
    <t>Fase</t>
  </si>
  <si>
    <t>% do Total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</si>
  <si>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</si>
  <si>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</si>
  <si>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</si>
  <si>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</si>
  <si>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</si>
  <si>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Obs.: custo = horas alocadas no cronograma × rate (Parâmetros). Infra (Gemini, PostHog, Supabase, npm, Vercel) em planos gratuitos — R$ 0.</t>
  </si>
  <si>
    <t>⚙  PARÂMETROS &amp; PREMISSAS — KYBERNUS CLI</t>
  </si>
  <si>
    <t>💡 Identificação fixa + premissas de cálculo.
A Data de Status controla o Avanço Planejado (curva do cronograma). O BAC é o orçamento aprovado. O AC (custo real) e as rates são editáveis.
O Avanço Real vem do % Real lançado tarefa a tarefa na aba Cronograma — não se edita aqui.</t>
  </si>
  <si>
    <t>IDENTIFICAÇÃO</t>
  </si>
  <si>
    <t>Nome do Projeto</t>
  </si>
  <si>
    <t>Kybernus CLI</t>
  </si>
  <si>
    <t>Patrocinadora</t>
  </si>
  <si>
    <t>Prof. Rosilene</t>
  </si>
  <si>
    <t>Data de Início</t>
  </si>
  <si>
    <t>Data de Término Planejada</t>
  </si>
  <si>
    <t>Data de Status (Reporte)</t>
  </si>
  <si>
    <t>PREMISSAS DE CUSTO (EDITÁVEL)</t>
  </si>
  <si>
    <t>Orçamento Aprovado — BAC (R$)</t>
  </si>
  <si>
    <t>Custo Real Acumulado — AC (R$) [calc.]</t>
  </si>
  <si>
    <t>Rate GP / PM (R$/h)</t>
  </si>
  <si>
    <t>Rate Dev / MKT (R$/h)</t>
  </si>
  <si>
    <t>INDICADORES CALCULADOS</t>
  </si>
  <si>
    <t>Total de Horas (cronograma)</t>
  </si>
  <si>
    <t>Total de Atividades</t>
  </si>
  <si>
    <t>Avanço Real (% Real lançado)</t>
  </si>
  <si>
    <t>Avanço Planejado (data de status)</t>
  </si>
  <si>
    <t>📋  PAINEL DE CENÁRIO ATUAL</t>
  </si>
  <si>
    <t>Resumo do cenário reportado na data de status.
O avanço real (40%) é apurado pelo % Real lançado tarefa a tarefa no Cronograma. O avanço planejado (~62%) vem da curva do cronograma na data de status. A diferença explica o status 🔴.</t>
  </si>
  <si>
    <t>INDICADORES-CHAVE</t>
  </si>
  <si>
    <t>Avanço Real (apurado)</t>
  </si>
  <si>
    <t>Avanço Planejado (cronograma)</t>
  </si>
  <si>
    <t>Defasagem de prazo</t>
  </si>
  <si>
    <t>Carga adicional aprovada (escopo)</t>
  </si>
  <si>
    <t>+39 h</t>
  </si>
  <si>
    <t>Origem da mudança</t>
  </si>
  <si>
    <t>Novo perfil de acesso, permissões e segurança</t>
  </si>
  <si>
    <t>Mudança aprovada pelo patrocinador</t>
  </si>
  <si>
    <t>Sim</t>
  </si>
  <si>
    <t>Desenvolvedor desligado</t>
  </si>
  <si>
    <t>Amanda Freire (Dev #3)</t>
  </si>
  <si>
    <t>Tratativa do desligamento</t>
  </si>
  <si>
    <t>Tarefas remanescentes redistribuídas a Dev #1 e Dev #2</t>
  </si>
  <si>
    <t>🎯  MARCOS DO PROJETO</t>
  </si>
  <si>
    <t>Data Prevista</t>
  </si>
  <si>
    <t>M0</t>
  </si>
  <si>
    <t>Gerenciamento do Projeto</t>
  </si>
  <si>
    <t>M1</t>
  </si>
  <si>
    <t>Definição e Design</t>
  </si>
  <si>
    <t>M2</t>
  </si>
  <si>
    <t>Implementação das Funcionalidades</t>
  </si>
  <si>
    <t>M3</t>
  </si>
  <si>
    <t>Testes e Documentação</t>
  </si>
  <si>
    <t>M4</t>
  </si>
  <si>
    <t>Divulgação e Encerramento</t>
  </si>
  <si>
    <t>🤝  PARTES INTERESSADAS — Engajamento</t>
  </si>
  <si>
    <t>Parte Interessada</t>
  </si>
  <si>
    <t>Engajamento</t>
  </si>
  <si>
    <t>Estratégia</t>
  </si>
  <si>
    <t>Patrocinadora (Prof. Rosilene)</t>
  </si>
  <si>
    <t>A → L</t>
  </si>
  <si>
    <t>Alto</t>
  </si>
  <si>
    <t>Reuniões periódicas de prestação de contas com entregas e critérios de aceite claros; envolvê-la nas decisões de escopo.</t>
  </si>
  <si>
    <t>Gerente de Projeto (G. Marafon)</t>
  </si>
  <si>
    <t>L → L</t>
  </si>
  <si>
    <t>Autonomia para decisões operacionais e acesso a informações em tempo real via ClickUp.</t>
  </si>
  <si>
    <t>Product Manager (G. Castelucci)</t>
  </si>
  <si>
    <t>Envolver nas decisões de priorização de requisitos e validação de escopo; reconhecer contribuições.</t>
  </si>
  <si>
    <t>Desenvolvedores (#1,#2,#3)</t>
  </si>
  <si>
    <t>Clareza nas tarefas e autonomia técnica; reconhecer contribuições e evitar sobrecarga além do TAP.</t>
  </si>
  <si>
    <t>Consultor de Marketing (V. Lago)</t>
  </si>
  <si>
    <t>N → A</t>
  </si>
  <si>
    <t>Médio</t>
  </si>
  <si>
    <t>Mostrar impacto estratégico do lançamento; envolver no posicionamento desde a Fase 4.</t>
  </si>
  <si>
    <t>Tech Leads / Arquitetos</t>
  </si>
  <si>
    <t>D → A</t>
  </si>
  <si>
    <t>Compartilhar documentação técnica e padrões (MVC, Clean, Hexagonal); convidar para testes externos.</t>
  </si>
  <si>
    <t>Desenvolvedores (usuários finais)</t>
  </si>
  <si>
    <t>Landing page clara com instruções; garantir meta de 80% de sucesso sem suporte.</t>
  </si>
  <si>
    <t>Comunidade Open-Source</t>
  </si>
  <si>
    <t>Repositório modelo no GitHub (README, CONTRIBUTING, templates); divulgar no dev.to e Product Hunt.</t>
  </si>
  <si>
    <t>Empresas de Tecnologia</t>
  </si>
  <si>
    <t>D → N</t>
  </si>
  <si>
    <t>Baixo</t>
  </si>
  <si>
    <t>Monitorar interesse via telemetria após o lançamento; sem ação direta no ciclo atual.</t>
  </si>
  <si>
    <t>Legenda: A=Apoiador · N=Neutro · R=Resistente · D=Desinformado · L=Lidera (atual → desejado)</t>
  </si>
  <si>
    <t>TABELAS DE APOIO (recalculadas automaticamente — não editar)</t>
  </si>
  <si>
    <t>Horas Totais</t>
  </si>
  <si>
    <t>Horas Realizadas (EV)</t>
  </si>
  <si>
    <t>% Concl.</t>
  </si>
  <si>
    <t>Mês</t>
  </si>
  <si>
    <t>Acum. Planejado (h)</t>
  </si>
  <si>
    <t>Acum.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</si>
  <si>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</si>
  <si>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</si>
  <si>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</si>
  <si>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</si>
  <si>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</si>
  <si>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</si>
  <si>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</si>
  <si>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Limite (h)</t>
  </si>
  <si>
    <t>Severidade (Σ)</t>
  </si>
  <si>
    <t>Previsto (PV h)</t>
  </si>
  <si>
    <t>Realizado (EV h)</t>
  </si>
  <si>
    <t>EVM (auto)</t>
  </si>
  <si>
    <t>SPI</t>
  </si>
  <si>
    <t>EV</t>
  </si>
  <si>
    <t>CPI</t>
  </si>
  <si>
    <t>PV</t>
  </si>
  <si>
    <t>CV</t>
  </si>
  <si>
    <t>SV</t>
  </si>
  <si>
    <t>%ORC</t>
  </si>
  <si>
    <t>TOP-5 RISCOS (dinâmico)</t>
  </si>
  <si>
    <t>#</t>
  </si>
  <si>
    <t>Cód</t>
  </si>
  <si>
    <t>Sev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</si>
</sst>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 &quot;#,##0"/>
    <numFmt numFmtId="165" formatCode="&quot;R$ &quot;#,##0;[Red]&quot;(R$ &quot;#,##0\)"/>
    <numFmt numFmtId="166" formatCode="[$$-409]#,##0.00;[Red]\-[$$-409]#,##0.00"/>
    <numFmt numFmtId="167" formatCode="0.0%"/>
    <numFmt numFmtId="168" formatCode="&quot;R$ &quot;#,##0;&quot;-R$ &quot;#,##0"/>
  </numFmts>
  <fonts count="49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sz val="11.0"/>
      <color theme="1"/>
      <name val="Calibri"/>
    </font>
    <font>
      <b/>
      <sz val="9.0"/>
      <color rgb="FF64748B"/>
      <name val="Calibri"/>
    </font>
    <font>
      <b/>
      <sz val="20.0"/>
      <color rgb="FF0F172A"/>
      <name val="Calibri"/>
    </font>
    <font>
      <b/>
      <sz val="20.0"/>
      <color rgb="FF0E7490"/>
      <name val="Calibri"/>
    </font>
    <font>
      <b/>
      <sz val="20.0"/>
      <color rgb="FF2563EB"/>
      <name val="Calibri"/>
    </font>
    <font>
      <b/>
      <sz val="20.0"/>
      <color rgb="FF15803D"/>
      <name val="Calibri"/>
    </font>
    <font>
      <b/>
      <sz val="20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334155"/>
      <name val="Calibri"/>
    </font>
    <font>
      <sz val="8.0"/>
      <color rgb="FF0F172A"/>
      <name val="Calibri"/>
    </font>
    <font>
      <sz val="9.0"/>
      <color theme="1"/>
      <name val="Calibri"/>
    </font>
    <font>
      <sz val="8.0"/>
      <color rgb="FF334155"/>
      <name val="Calibri"/>
    </font>
    <font>
      <b/>
      <sz val="9.0"/>
      <color rgb="FFB91C1C"/>
      <name val="Calibri"/>
    </font>
    <font>
      <b/>
      <sz val="9.0"/>
      <color rgb="FFB45309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9.0"/>
      <color rgb="FF1D4ED8"/>
      <name val="Calibri"/>
    </font>
    <font>
      <color theme="1"/>
      <name val="Calibri"/>
      <scheme val="minor"/>
    </font>
    <font>
      <i/>
      <sz val="8.0"/>
      <color rgb="FF64748B"/>
      <name val="Calibri"/>
    </font>
    <font>
      <b/>
      <sz val="13.0"/>
      <color rgb="FFFFFFFF"/>
      <name val="Calibri"/>
    </font>
    <font>
      <sz val="10.0"/>
      <color rgb="FF0F172A"/>
      <name val="Calibri"/>
    </font>
    <font>
      <b/>
      <sz val="11.0"/>
      <color rgb="FFFFFFFF"/>
      <name val="Calibri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BEB"/>
        <bgColor rgb="FFFFFBEB"/>
      </patternFill>
    </fill>
    <fill>
      <patternFill patternType="solid">
        <fgColor rgb="FFFF9900"/>
        <bgColor rgb="FFFF9900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vertical="center"/>
    </xf>
    <xf borderId="0" fillId="0" fontId="4" numFmtId="0" xfId="0" applyFont="1"/>
    <xf borderId="4" fillId="3" fontId="5" numFmtId="0" xfId="0" applyBorder="1" applyFill="1" applyFont="1"/>
    <xf borderId="5" fillId="4" fontId="5" numFmtId="0" xfId="0" applyBorder="1" applyFill="1" applyFont="1"/>
    <xf borderId="6" fillId="5" fontId="5" numFmtId="0" xfId="0" applyBorder="1" applyFill="1" applyFont="1"/>
    <xf borderId="7" fillId="6" fontId="5" numFmtId="0" xfId="0" applyBorder="1" applyFill="1" applyFont="1"/>
    <xf borderId="8" fillId="7" fontId="5" numFmtId="0" xfId="0" applyBorder="1" applyFill="1" applyFont="1"/>
    <xf borderId="1" fillId="8" fontId="6" numFmtId="0" xfId="0" applyAlignment="1" applyBorder="1" applyFill="1" applyFont="1">
      <alignment horizontal="left" vertical="center"/>
    </xf>
    <xf borderId="9" fillId="8" fontId="7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8" fontId="8" numFmtId="9" xfId="0" applyAlignment="1" applyBorder="1" applyFont="1" applyNumberFormat="1">
      <alignment horizontal="center" vertical="center"/>
    </xf>
    <xf borderId="9" fillId="8" fontId="9" numFmtId="2" xfId="0" applyAlignment="1" applyBorder="1" applyFont="1" applyNumberFormat="1">
      <alignment horizontal="center" vertical="center"/>
    </xf>
    <xf borderId="9" fillId="8" fontId="10" numFmtId="2" xfId="0" applyAlignment="1" applyBorder="1" applyFont="1" applyNumberFormat="1">
      <alignment horizontal="center" vertical="center"/>
    </xf>
    <xf borderId="9" fillId="8" fontId="11" numFmtId="9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8" fontId="12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9" fontId="13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9" fontId="13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left" vertical="center"/>
    </xf>
    <xf borderId="23" fillId="0" fontId="2" numFmtId="0" xfId="0" applyBorder="1" applyFont="1"/>
    <xf borderId="24" fillId="0" fontId="2" numFmtId="0" xfId="0" applyBorder="1" applyFont="1"/>
    <xf borderId="25" fillId="0" fontId="15" numFmtId="2" xfId="0" applyAlignment="1" applyBorder="1" applyFont="1" applyNumberFormat="1">
      <alignment horizontal="center" vertical="center"/>
    </xf>
    <xf borderId="25" fillId="0" fontId="16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2" fillId="0" fontId="17" numFmtId="0" xfId="0" applyAlignment="1" applyBorder="1" applyFont="1">
      <alignment horizontal="left" vertical="center"/>
    </xf>
    <xf borderId="26" fillId="10" fontId="18" numFmtId="1" xfId="0" applyAlignment="1" applyBorder="1" applyFill="1" applyFont="1" applyNumberFormat="1">
      <alignment horizontal="center" vertical="center"/>
    </xf>
    <xf borderId="27" fillId="0" fontId="2" numFmtId="0" xfId="0" applyBorder="1" applyFont="1"/>
    <xf borderId="26" fillId="11" fontId="19" numFmtId="1" xfId="0" applyAlignment="1" applyBorder="1" applyFill="1" applyFont="1" applyNumberFormat="1">
      <alignment horizontal="center" vertical="center"/>
    </xf>
    <xf borderId="26" fillId="12" fontId="20" numFmtId="164" xfId="0" applyAlignment="1" applyBorder="1" applyFill="1" applyFont="1" applyNumberFormat="1">
      <alignment horizontal="center" vertical="center"/>
    </xf>
    <xf borderId="28" fillId="10" fontId="21" numFmtId="0" xfId="0" applyAlignment="1" applyBorder="1" applyFont="1">
      <alignment horizontal="center" vertical="top"/>
    </xf>
    <xf borderId="29" fillId="0" fontId="2" numFmtId="0" xfId="0" applyBorder="1" applyFont="1"/>
    <xf borderId="28" fillId="11" fontId="22" numFmtId="0" xfId="0" applyAlignment="1" applyBorder="1" applyFont="1">
      <alignment horizontal="center" vertical="top"/>
    </xf>
    <xf borderId="28" fillId="12" fontId="23" numFmtId="0" xfId="0" applyAlignment="1" applyBorder="1" applyFont="1">
      <alignment horizontal="center" vertical="top"/>
    </xf>
    <xf borderId="25" fillId="0" fontId="15" numFmtId="165" xfId="0" applyAlignment="1" applyBorder="1" applyFont="1" applyNumberFormat="1">
      <alignment horizontal="center" vertical="center"/>
    </xf>
    <xf borderId="26" fillId="13" fontId="24" numFmtId="1" xfId="0" applyAlignment="1" applyBorder="1" applyFill="1" applyFont="1" applyNumberFormat="1">
      <alignment horizontal="center" vertical="center"/>
    </xf>
    <xf borderId="26" fillId="14" fontId="25" numFmtId="1" xfId="0" applyAlignment="1" applyBorder="1" applyFill="1" applyFont="1" applyNumberFormat="1">
      <alignment horizontal="center" vertical="center"/>
    </xf>
    <xf borderId="26" fillId="14" fontId="26" numFmtId="164" xfId="0" applyAlignment="1" applyBorder="1" applyFont="1" applyNumberFormat="1">
      <alignment horizontal="center" vertical="center"/>
    </xf>
    <xf borderId="28" fillId="13" fontId="27" numFmtId="0" xfId="0" applyAlignment="1" applyBorder="1" applyFont="1">
      <alignment horizontal="center" vertical="top"/>
    </xf>
    <xf borderId="28" fillId="14" fontId="28" numFmtId="0" xfId="0" applyAlignment="1" applyBorder="1" applyFont="1">
      <alignment horizontal="center" vertical="top"/>
    </xf>
    <xf borderId="28" fillId="14" fontId="29" numFmtId="0" xfId="0" applyAlignment="1" applyBorder="1" applyFont="1">
      <alignment horizontal="center" vertical="top"/>
    </xf>
    <xf borderId="22" fillId="0" fontId="17" numFmtId="0" xfId="0" applyAlignment="1" applyBorder="1" applyFont="1">
      <alignment horizontal="center" vertical="center"/>
    </xf>
    <xf borderId="22" fillId="0" fontId="30" numFmtId="0" xfId="0" applyAlignment="1" applyBorder="1" applyFont="1">
      <alignment horizontal="center" vertical="center"/>
    </xf>
    <xf borderId="22" fillId="0" fontId="31" numFmtId="0" xfId="0" applyAlignment="1" applyBorder="1" applyFont="1">
      <alignment horizontal="left" vertical="center"/>
    </xf>
    <xf borderId="25" fillId="0" fontId="15" numFmtId="0" xfId="0" applyAlignment="1" applyBorder="1" applyFont="1">
      <alignment horizontal="center" vertical="center"/>
    </xf>
    <xf borderId="25" fillId="0" fontId="32" numFmtId="0" xfId="0" applyAlignment="1" applyBorder="1" applyFont="1">
      <alignment horizontal="center" vertical="center"/>
    </xf>
    <xf borderId="22" fillId="0" fontId="33" numFmtId="0" xfId="0" applyAlignment="1" applyBorder="1" applyFont="1">
      <alignment horizontal="left" vertical="center"/>
    </xf>
    <xf borderId="22" fillId="0" fontId="34" numFmtId="0" xfId="0" applyAlignment="1" applyBorder="1" applyFont="1">
      <alignment horizontal="center" vertical="center"/>
    </xf>
    <xf borderId="25" fillId="0" fontId="33" numFmtId="0" xfId="0" applyAlignment="1" applyBorder="1" applyFont="1">
      <alignment horizontal="center" vertical="center"/>
    </xf>
    <xf borderId="22" fillId="0" fontId="35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left" vertical="center"/>
    </xf>
    <xf borderId="0" fillId="0" fontId="12" numFmtId="0" xfId="0" applyFont="1"/>
    <xf borderId="25" fillId="9" fontId="13" numFmtId="0" xfId="0" applyAlignment="1" applyBorder="1" applyFont="1">
      <alignment horizontal="center" vertical="center"/>
    </xf>
    <xf borderId="0" fillId="0" fontId="28" numFmtId="0" xfId="0" applyFont="1"/>
    <xf borderId="1" fillId="4" fontId="37" numFmtId="0" xfId="0" applyAlignment="1" applyBorder="1" applyFont="1">
      <alignment horizontal="left" vertical="center"/>
    </xf>
    <xf borderId="25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left" vertical="center"/>
    </xf>
    <xf borderId="25" fillId="0" fontId="14" numFmtId="14" xfId="0" applyAlignment="1" applyBorder="1" applyFont="1" applyNumberFormat="1">
      <alignment horizontal="center" vertical="center"/>
    </xf>
    <xf borderId="30" fillId="15" fontId="38" numFmtId="9" xfId="0" applyBorder="1" applyFill="1" applyFont="1" applyNumberFormat="1"/>
    <xf borderId="0" fillId="0" fontId="39" numFmtId="0" xfId="0" applyFont="1"/>
    <xf borderId="0" fillId="0" fontId="5" numFmtId="166" xfId="0" applyFont="1" applyNumberFormat="1"/>
    <xf borderId="25" fillId="15" fontId="38" numFmtId="9" xfId="0" applyBorder="1" applyFont="1" applyNumberFormat="1"/>
    <xf borderId="25" fillId="16" fontId="14" numFmtId="0" xfId="0" applyAlignment="1" applyBorder="1" applyFill="1" applyFont="1">
      <alignment horizontal="center" vertical="center"/>
    </xf>
    <xf borderId="25" fillId="16" fontId="14" numFmtId="0" xfId="0" applyAlignment="1" applyBorder="1" applyFont="1">
      <alignment horizontal="left" vertical="center"/>
    </xf>
    <xf borderId="25" fillId="16" fontId="14" numFmtId="14" xfId="0" applyAlignment="1" applyBorder="1" applyFont="1" applyNumberFormat="1">
      <alignment horizontal="center" vertical="center"/>
    </xf>
    <xf borderId="30" fillId="16" fontId="38" numFmtId="9" xfId="0" applyBorder="1" applyFont="1" applyNumberFormat="1"/>
    <xf borderId="25" fillId="16" fontId="32" numFmtId="0" xfId="0" applyAlignment="1" applyBorder="1" applyFont="1">
      <alignment horizontal="center" vertical="center"/>
    </xf>
    <xf borderId="25" fillId="16" fontId="16" numFmtId="0" xfId="0" applyAlignment="1" applyBorder="1" applyFont="1">
      <alignment horizontal="center" vertical="center"/>
    </xf>
    <xf borderId="25" fillId="11" fontId="14" numFmtId="0" xfId="0" applyAlignment="1" applyBorder="1" applyFont="1">
      <alignment horizontal="center" vertical="center"/>
    </xf>
    <xf borderId="25" fillId="11" fontId="14" numFmtId="0" xfId="0" applyAlignment="1" applyBorder="1" applyFont="1">
      <alignment horizontal="left" vertical="center"/>
    </xf>
    <xf borderId="25" fillId="11" fontId="14" numFmtId="14" xfId="0" applyAlignment="1" applyBorder="1" applyFont="1" applyNumberFormat="1">
      <alignment horizontal="center" vertical="center"/>
    </xf>
    <xf borderId="25" fillId="11" fontId="14" numFmtId="0" xfId="0" applyAlignment="1" applyBorder="1" applyFont="1">
      <alignment horizontal="center" readingOrder="0" vertical="center"/>
    </xf>
    <xf borderId="25" fillId="12" fontId="14" numFmtId="0" xfId="0" applyAlignment="1" applyBorder="1" applyFont="1">
      <alignment horizontal="left" vertical="center"/>
    </xf>
    <xf borderId="25" fillId="0" fontId="14" numFmtId="0" xfId="0" applyAlignment="1" applyBorder="1" applyFont="1">
      <alignment horizontal="left" shrinkToFit="0" vertical="center" wrapText="1"/>
    </xf>
    <xf borderId="30" fillId="15" fontId="38" numFmtId="0" xfId="0" applyAlignment="1" applyBorder="1" applyFont="1">
      <alignment horizontal="center" vertical="center"/>
    </xf>
    <xf borderId="0" fillId="0" fontId="40" numFmtId="0" xfId="0" applyFont="1"/>
    <xf borderId="1" fillId="2" fontId="41" numFmtId="0" xfId="0" applyAlignment="1" applyBorder="1" applyFont="1">
      <alignment horizontal="left" vertical="center"/>
    </xf>
    <xf borderId="25" fillId="0" fontId="42" numFmtId="0" xfId="0" applyAlignment="1" applyBorder="1" applyFont="1">
      <alignment horizontal="center" vertical="center"/>
    </xf>
    <xf borderId="25" fillId="0" fontId="42" numFmtId="0" xfId="0" applyAlignment="1" applyBorder="1" applyFont="1">
      <alignment horizontal="left" vertical="center"/>
    </xf>
    <xf borderId="25" fillId="0" fontId="42" numFmtId="1" xfId="0" applyAlignment="1" applyBorder="1" applyFont="1" applyNumberFormat="1">
      <alignment horizontal="center" vertical="center"/>
    </xf>
    <xf borderId="25" fillId="0" fontId="42" numFmtId="167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25" fillId="0" fontId="42" numFmtId="164" xfId="0" applyAlignment="1" applyBorder="1" applyFont="1" applyNumberFormat="1">
      <alignment horizontal="center" vertical="center"/>
    </xf>
    <xf borderId="25" fillId="0" fontId="42" numFmtId="165" xfId="0" applyAlignment="1" applyBorder="1" applyFont="1" applyNumberFormat="1">
      <alignment horizontal="center" vertical="center"/>
    </xf>
    <xf borderId="25" fillId="0" fontId="42" numFmtId="168" xfId="0" applyAlignment="1" applyBorder="1" applyFont="1" applyNumberFormat="1">
      <alignment horizontal="center" vertical="center"/>
    </xf>
    <xf borderId="25" fillId="2" fontId="43" numFmtId="0" xfId="0" applyAlignment="1" applyBorder="1" applyFont="1">
      <alignment horizontal="center" vertical="center"/>
    </xf>
    <xf borderId="25" fillId="2" fontId="43" numFmtId="0" xfId="0" applyAlignment="1" applyBorder="1" applyFont="1">
      <alignment horizontal="right" vertical="center"/>
    </xf>
    <xf borderId="25" fillId="2" fontId="43" numFmtId="1" xfId="0" applyAlignment="1" applyBorder="1" applyFont="1" applyNumberFormat="1">
      <alignment horizontal="center" vertical="center"/>
    </xf>
    <xf borderId="25" fillId="2" fontId="43" numFmtId="165" xfId="0" applyAlignment="1" applyBorder="1" applyFont="1" applyNumberFormat="1">
      <alignment horizontal="center" vertical="center"/>
    </xf>
    <xf borderId="25" fillId="2" fontId="43" numFmtId="168" xfId="0" applyAlignment="1" applyBorder="1" applyFont="1" applyNumberFormat="1">
      <alignment horizontal="center" vertical="center"/>
    </xf>
    <xf borderId="22" fillId="9" fontId="13" numFmtId="0" xfId="0" applyAlignment="1" applyBorder="1" applyFont="1">
      <alignment horizontal="center" vertical="center"/>
    </xf>
    <xf borderId="22" fillId="0" fontId="42" numFmtId="0" xfId="0" applyAlignment="1" applyBorder="1" applyFont="1">
      <alignment horizontal="left" vertical="center"/>
    </xf>
    <xf borderId="25" fillId="0" fontId="42" numFmtId="9" xfId="0" applyAlignment="1" applyBorder="1" applyFont="1" applyNumberFormat="1">
      <alignment horizontal="center" vertical="center"/>
    </xf>
    <xf borderId="22" fillId="2" fontId="43" numFmtId="0" xfId="0" applyAlignment="1" applyBorder="1" applyFont="1">
      <alignment horizontal="right" vertical="center"/>
    </xf>
    <xf borderId="25" fillId="2" fontId="43" numFmtId="164" xfId="0" applyAlignment="1" applyBorder="1" applyFont="1" applyNumberFormat="1">
      <alignment horizontal="center" vertical="center"/>
    </xf>
    <xf borderId="25" fillId="2" fontId="43" numFmtId="9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 shrinkToFit="0" vertical="top" wrapText="1"/>
    </xf>
    <xf borderId="0" fillId="0" fontId="44" numFmtId="0" xfId="0" applyFont="1"/>
    <xf borderId="25" fillId="14" fontId="45" numFmtId="0" xfId="0" applyAlignment="1" applyBorder="1" applyFont="1">
      <alignment horizontal="left" vertical="center"/>
    </xf>
    <xf borderId="25" fillId="0" fontId="46" numFmtId="0" xfId="0" applyAlignment="1" applyBorder="1" applyFont="1">
      <alignment horizontal="center" vertical="center"/>
    </xf>
    <xf borderId="25" fillId="0" fontId="46" numFmtId="14" xfId="0" applyAlignment="1" applyBorder="1" applyFont="1" applyNumberFormat="1">
      <alignment horizontal="center" vertical="center"/>
    </xf>
    <xf borderId="0" fillId="0" fontId="47" numFmtId="0" xfId="0" applyFont="1"/>
    <xf borderId="30" fillId="15" fontId="48" numFmtId="164" xfId="0" applyAlignment="1" applyBorder="1" applyFont="1" applyNumberFormat="1">
      <alignment horizontal="center" readingOrder="0" vertical="center"/>
    </xf>
    <xf borderId="25" fillId="14" fontId="46" numFmtId="164" xfId="0" applyAlignment="1" applyBorder="1" applyFont="1" applyNumberFormat="1">
      <alignment horizontal="center" vertical="center"/>
    </xf>
    <xf borderId="30" fillId="15" fontId="48" numFmtId="164" xfId="0" applyAlignment="1" applyBorder="1" applyFont="1" applyNumberFormat="1">
      <alignment horizontal="center" vertical="center"/>
    </xf>
    <xf borderId="25" fillId="0" fontId="46" numFmtId="3" xfId="0" applyAlignment="1" applyBorder="1" applyFont="1" applyNumberFormat="1">
      <alignment horizontal="center" vertical="center"/>
    </xf>
    <xf borderId="25" fillId="0" fontId="46" numFmtId="1" xfId="0" applyAlignment="1" applyBorder="1" applyFont="1" applyNumberFormat="1">
      <alignment horizontal="center" vertical="center"/>
    </xf>
    <xf borderId="25" fillId="0" fontId="46" numFmtId="9" xfId="0" applyAlignment="1" applyBorder="1" applyFont="1" applyNumberFormat="1">
      <alignment horizontal="center" vertical="center"/>
    </xf>
    <xf borderId="25" fillId="0" fontId="46" numFmtId="9" xfId="0" applyAlignment="1" applyBorder="1" applyFont="1" applyNumberFormat="1">
      <alignment horizontal="left" shrinkToFit="0" vertical="center" wrapText="1"/>
    </xf>
    <xf borderId="25" fillId="0" fontId="46" numFmtId="0" xfId="0" applyAlignment="1" applyBorder="1" applyFont="1">
      <alignment horizontal="left" shrinkToFit="0" vertical="center" wrapText="1"/>
    </xf>
    <xf borderId="25" fillId="9" fontId="37" numFmtId="0" xfId="0" applyAlignment="1" applyBorder="1" applyFont="1">
      <alignment horizontal="center" vertical="center"/>
    </xf>
    <xf borderId="25" fillId="0" fontId="42" numFmtId="14" xfId="0" applyAlignment="1" applyBorder="1" applyFont="1" applyNumberFormat="1">
      <alignment horizontal="center" vertical="center"/>
    </xf>
    <xf borderId="25" fillId="0" fontId="34" numFmtId="0" xfId="0" applyAlignment="1" applyBorder="1" applyFont="1">
      <alignment horizontal="center" vertical="center"/>
    </xf>
    <xf borderId="25" fillId="0" fontId="35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31" fillId="2" fontId="13" numFmtId="0" xfId="0" applyBorder="1" applyFont="1"/>
    <xf borderId="0" fillId="0" fontId="5" numFmtId="9" xfId="0" applyFont="1" applyNumberFormat="1"/>
    <xf borderId="0" fillId="0" fontId="5" numFmtId="1" xfId="0" applyFont="1" applyNumberFormat="1"/>
    <xf borderId="0" fillId="0" fontId="5" numFmtId="164" xfId="0" applyFont="1" applyNumberFormat="1"/>
  </cellXfs>
  <cellStyles count="1">
    <cellStyle xfId="0" name="Normal" builtinId="0"/>
  </cellStyles>
  <dxfs count="5">
    <dxf>
      <font>
        <b/>
        <sz val="20.0"/>
        <color rgb="FFB45309"/>
        <name val="Calibri"/>
      </font>
      <fill>
        <patternFill patternType="none"/>
      </fill>
      <border/>
    </dxf>
    <dxf>
      <font>
        <b/>
        <color rgb="FFB91C1C"/>
        <name val="Calibri"/>
      </font>
      <fill>
        <patternFill patternType="none"/>
      </fill>
      <border/>
    </dxf>
    <dxf>
      <font>
        <b/>
        <color rgb="FF15803D"/>
        <name val="Calibri"/>
      </font>
      <fill>
        <patternFill patternType="none"/>
      </fill>
      <border/>
    </dxf>
    <dxf>
      <font>
        <b/>
        <color rgb="FFFCA5A5"/>
        <name val="Calibri"/>
      </font>
      <fill>
        <patternFill patternType="none"/>
      </fill>
      <border/>
    </dxf>
    <dxf>
      <font>
        <b/>
        <color rgb="FF86EFAC"/>
        <name val="Calibri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Acum. Planejado (h)</c:v>
          </c:tx>
          <c:spPr>
            <a:ln cmpd="sng" w="19050">
              <a:solidFill>
                <a:srgbClr val="1F2A4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Acum. Realizado (h)</c:v>
          </c:tx>
          <c:spPr>
            <a:ln cmpd="sng" w="19050">
              <a:solidFill>
                <a:srgbClr val="0E749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583031897"/>
        <c:axId val="429353992"/>
      </c:lineChart>
      <c:catAx>
        <c:axId val="583031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9353992"/>
      </c:catAx>
      <c:valAx>
        <c:axId val="429353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30318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Entregas Previstas × Realizadas (horas por fase)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Previsto (PV h)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Dados!$B$33:$B$37</c:f>
              <c:numCache/>
            </c:numRef>
          </c:val>
        </c:ser>
        <c:ser>
          <c:idx val="1"/>
          <c:order val="1"/>
          <c:tx>
            <c:v>Realizado (EV h)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Dados!$A$33:$A$37</c:f>
            </c:strRef>
          </c:cat>
          <c:val>
            <c:numRef>
              <c:f>Dados!$C$33:$C$37</c:f>
              <c:numCache/>
            </c:numRef>
          </c:val>
        </c:ser>
        <c:axId val="1464455398"/>
        <c:axId val="1869948848"/>
      </c:barChart>
      <c:catAx>
        <c:axId val="1464455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69948848"/>
      </c:catAx>
      <c:valAx>
        <c:axId val="1869948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44553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1293853656"/>
        <c:axId val="796499540"/>
      </c:barChart>
      <c:catAx>
        <c:axId val="1293853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96499540"/>
      </c:catAx>
      <c:valAx>
        <c:axId val="796499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3853656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4505325" cy="2524125"/>
    <xdr:graphicFrame>
      <xdr:nvGraphicFramePr>
        <xdr:cNvPr id="141947937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19</xdr:row>
      <xdr:rowOff>0</xdr:rowOff>
    </xdr:from>
    <xdr:ext cx="4495800" cy="2524125"/>
    <xdr:graphicFrame>
      <xdr:nvGraphicFramePr>
        <xdr:cNvPr id="20334003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4505325" cy="2524125"/>
    <xdr:graphicFrame>
      <xdr:nvGraphicFramePr>
        <xdr:cNvPr id="103622757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35</xdr:row>
      <xdr:rowOff>0</xdr:rowOff>
    </xdr:from>
    <xdr:ext cx="4495800" cy="2524125"/>
    <xdr:graphicFrame>
      <xdr:nvGraphicFramePr>
        <xdr:cNvPr id="194026649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6" width="9.57"/>
    <col customWidth="1" min="17" max="17" width="2.43"/>
  </cols>
  <sheetData>
    <row r="1" ht="6.0" customHeight="1"/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B3" s="4" t="str">
        <f>CONCATENATE("GP: ",'Parâmetros'!$C$6,"   |   Data de Status: ",TEXT('Parâmetros'!$C$10,"DD/MM/YYYY"),"   |   Avanço real ",TEXT('Parâmetros'!$C$21,"0%")," vs planejado ",TEXT('Parâmetros'!$C$22,"0%"))</f>
        <v>GP: Guilherme Marafon   |   Data de Status: 31/05/2026   |   Avanço real 43% vs planejado 64%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6.0" customHeight="1"/>
    <row r="5" ht="18.0" customHeight="1">
      <c r="B5" s="5" t="s">
        <v>1</v>
      </c>
    </row>
    <row r="6" ht="4.5" customHeight="1">
      <c r="B6" s="6"/>
      <c r="C6" s="6"/>
      <c r="D6" s="6"/>
      <c r="E6" s="7"/>
      <c r="F6" s="7"/>
      <c r="G6" s="7"/>
      <c r="H6" s="8"/>
      <c r="I6" s="8"/>
      <c r="J6" s="8"/>
      <c r="K6" s="9"/>
      <c r="L6" s="9"/>
      <c r="M6" s="9"/>
      <c r="N6" s="10"/>
      <c r="O6" s="10"/>
      <c r="P6" s="10"/>
    </row>
    <row r="7" ht="13.5" customHeight="1">
      <c r="B7" s="11" t="s">
        <v>2</v>
      </c>
      <c r="C7" s="2"/>
      <c r="D7" s="3"/>
      <c r="E7" s="11" t="s">
        <v>3</v>
      </c>
      <c r="F7" s="2"/>
      <c r="G7" s="3"/>
      <c r="H7" s="11" t="s">
        <v>4</v>
      </c>
      <c r="I7" s="2"/>
      <c r="J7" s="3"/>
      <c r="K7" s="11" t="s">
        <v>5</v>
      </c>
      <c r="L7" s="2"/>
      <c r="M7" s="3"/>
      <c r="N7" s="11" t="s">
        <v>6</v>
      </c>
      <c r="O7" s="2"/>
      <c r="P7" s="3"/>
    </row>
    <row r="8" ht="24.0" customHeight="1">
      <c r="B8" s="12" t="str">
        <f>IF(AND(Dados!$B$40&gt;=0.95,Dados!$B$42&gt;=0.95),"🟢 NO PRAZO",IF(OR(Dados!$B$40&lt;0.85,Dados!$B$42&lt;0.85),"🔴 CRÍTICO","🟡 ATENÇÃO"))</f>
        <v>🔴 CRÍTICO</v>
      </c>
      <c r="C8" s="13"/>
      <c r="D8" s="14"/>
      <c r="E8" s="15">
        <f>'Parâmetros'!$C$21</f>
        <v>0.4317775571</v>
      </c>
      <c r="F8" s="13"/>
      <c r="G8" s="14"/>
      <c r="H8" s="16">
        <f>Dados!$B$40</f>
        <v>0.6705361228</v>
      </c>
      <c r="I8" s="13"/>
      <c r="J8" s="14"/>
      <c r="K8" s="17">
        <f>Dados!$B$42</f>
        <v>1.365128423</v>
      </c>
      <c r="L8" s="13"/>
      <c r="M8" s="14"/>
      <c r="N8" s="18">
        <f>Dados!$B$46</f>
        <v>0.316290797</v>
      </c>
      <c r="O8" s="13"/>
      <c r="P8" s="14"/>
    </row>
    <row r="9" ht="9.75" customHeight="1">
      <c r="B9" s="19"/>
      <c r="C9" s="20"/>
      <c r="D9" s="21"/>
      <c r="E9" s="19"/>
      <c r="F9" s="20"/>
      <c r="G9" s="21"/>
      <c r="H9" s="19"/>
      <c r="I9" s="20"/>
      <c r="J9" s="21"/>
      <c r="K9" s="19"/>
      <c r="L9" s="20"/>
      <c r="M9" s="21"/>
      <c r="N9" s="19"/>
      <c r="O9" s="20"/>
      <c r="P9" s="21"/>
    </row>
    <row r="10" ht="15.0" customHeight="1">
      <c r="B10" s="22" t="str">
        <f>"Prazo + Custo (EVM)"</f>
        <v>Prazo + Custo (EVM)</v>
      </c>
      <c r="C10" s="23"/>
      <c r="D10" s="24"/>
      <c r="E10" s="22" t="str">
        <f>CONCATENATE("Planejado: ",TEXT('Parâmetros'!$C$22,"0%"))</f>
        <v>Planejado: 64%</v>
      </c>
      <c r="F10" s="23"/>
      <c r="G10" s="24"/>
      <c r="H10" s="22" t="str">
        <f>IF(Dados!$B$40&gt;=0.95,"No ritmo","Atrasado")</f>
        <v>Atrasado</v>
      </c>
      <c r="I10" s="23"/>
      <c r="J10" s="24"/>
      <c r="K10" s="22" t="str">
        <f>IF(Dados!$B$42&gt;=1,"Dentro do custo","Acima do custo")</f>
        <v>Dentro do custo</v>
      </c>
      <c r="L10" s="23"/>
      <c r="M10" s="24"/>
      <c r="N10" s="22" t="str">
        <f>CONCATENATE("de ",TEXT('Parâmetros'!$C$13,"R$ #,##0"))</f>
        <v>de R$ 35.695</v>
      </c>
      <c r="O10" s="23"/>
      <c r="P10" s="24"/>
    </row>
    <row r="11" ht="6.0" customHeight="1"/>
    <row r="12" ht="14.25" customHeight="1">
      <c r="B12" s="5" t="s">
        <v>7</v>
      </c>
    </row>
    <row r="13" ht="14.25" customHeight="1">
      <c r="B13" s="25" t="s">
        <v>8</v>
      </c>
      <c r="C13" s="26"/>
      <c r="D13" s="27"/>
      <c r="E13" s="28" t="s">
        <v>9</v>
      </c>
      <c r="F13" s="28" t="s">
        <v>10</v>
      </c>
      <c r="G13" s="28" t="s">
        <v>11</v>
      </c>
      <c r="H13" s="25" t="s">
        <v>12</v>
      </c>
      <c r="I13" s="26"/>
      <c r="J13" s="27"/>
      <c r="K13" s="5" t="s">
        <v>13</v>
      </c>
    </row>
    <row r="14" ht="24.0" customHeight="1">
      <c r="B14" s="29" t="s">
        <v>14</v>
      </c>
      <c r="C14" s="30"/>
      <c r="D14" s="31"/>
      <c r="E14" s="32">
        <f>Dados!$B$40</f>
        <v>0.6705361228</v>
      </c>
      <c r="F14" s="33" t="s">
        <v>15</v>
      </c>
      <c r="G14" s="34" t="s">
        <v>11</v>
      </c>
      <c r="H14" s="35" t="str">
        <f>IF(Dados!$B$40&gt;=0.95,"Cronograma no ritmo","Atraso vs plano")</f>
        <v>Atraso vs plano</v>
      </c>
      <c r="I14" s="30"/>
      <c r="J14" s="31"/>
      <c r="K14" s="36">
        <f>COUNTIF(Cronograma!$J$4:$J$97,"*Concluída*")</f>
        <v>43</v>
      </c>
      <c r="L14" s="37"/>
      <c r="M14" s="38">
        <f>COUNTIF(Cronograma!$J$4:$J$97,"*Em execução*")</f>
        <v>1</v>
      </c>
      <c r="N14" s="37"/>
      <c r="O14" s="39">
        <f>Dados!$B$41</f>
        <v>15412.2999</v>
      </c>
      <c r="P14" s="37"/>
    </row>
    <row r="15" ht="12.75" customHeight="1">
      <c r="B15" s="29" t="s">
        <v>16</v>
      </c>
      <c r="C15" s="30"/>
      <c r="D15" s="31"/>
      <c r="E15" s="32">
        <f>Dados!$B$42</f>
        <v>1.365128423</v>
      </c>
      <c r="F15" s="33" t="s">
        <v>15</v>
      </c>
      <c r="G15" s="34" t="s">
        <v>11</v>
      </c>
      <c r="H15" s="35" t="str">
        <f>IF(Dados!$B$42&gt;=1,"Eficiência de custo","Custo acima do previsto")</f>
        <v>Eficiência de custo</v>
      </c>
      <c r="I15" s="30"/>
      <c r="J15" s="31"/>
      <c r="K15" s="40" t="s">
        <v>17</v>
      </c>
      <c r="L15" s="41"/>
      <c r="M15" s="42" t="s">
        <v>18</v>
      </c>
      <c r="N15" s="41"/>
      <c r="O15" s="43" t="s">
        <v>19</v>
      </c>
      <c r="P15" s="41"/>
    </row>
    <row r="16" ht="24.0" customHeight="1">
      <c r="B16" s="29" t="s">
        <v>20</v>
      </c>
      <c r="C16" s="30"/>
      <c r="D16" s="31"/>
      <c r="E16" s="44">
        <f>Dados!$B$44</f>
        <v>4122.299901</v>
      </c>
      <c r="F16" s="33" t="s">
        <v>21</v>
      </c>
      <c r="G16" s="34" t="s">
        <v>11</v>
      </c>
      <c r="H16" s="35" t="str">
        <f>IF(Dados!$B$44&gt;=0,"Dentro do orçamento","Estouro de custo")</f>
        <v>Dentro do orçamento</v>
      </c>
      <c r="I16" s="30"/>
      <c r="J16" s="31"/>
      <c r="K16" s="45">
        <f>COUNTIF(Cronograma!$J$4:$J$97,"*Atrasada*")</f>
        <v>9</v>
      </c>
      <c r="L16" s="37"/>
      <c r="M16" s="46">
        <f>COUNTIF(Cronograma!$J$4:$J$97,"*Não iniciada*")</f>
        <v>37</v>
      </c>
      <c r="N16" s="37"/>
      <c r="O16" s="47">
        <f>Dados!$B$43</f>
        <v>22985.04044</v>
      </c>
      <c r="P16" s="37"/>
    </row>
    <row r="17" ht="12.75" customHeight="1">
      <c r="B17" s="29" t="s">
        <v>22</v>
      </c>
      <c r="C17" s="30"/>
      <c r="D17" s="31"/>
      <c r="E17" s="44">
        <f>Dados!$B$45</f>
        <v>-7572.740543</v>
      </c>
      <c r="F17" s="33" t="s">
        <v>21</v>
      </c>
      <c r="G17" s="34" t="s">
        <v>11</v>
      </c>
      <c r="H17" s="35" t="str">
        <f>IF(Dados!$B$45&gt;=0,"Adiantado","Valor agregado abaixo do planejado")</f>
        <v>Valor agregado abaixo do planejado</v>
      </c>
      <c r="I17" s="30"/>
      <c r="J17" s="31"/>
      <c r="K17" s="48" t="s">
        <v>23</v>
      </c>
      <c r="L17" s="41"/>
      <c r="M17" s="49" t="s">
        <v>24</v>
      </c>
      <c r="N17" s="41"/>
      <c r="O17" s="50" t="s">
        <v>25</v>
      </c>
      <c r="P17" s="41"/>
    </row>
    <row r="18" ht="14.25" customHeight="1"/>
    <row r="19" ht="18.0" customHeight="1">
      <c r="B19" s="5" t="s">
        <v>26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5.75" customHeight="1">
      <c r="B52" s="5" t="s">
        <v>27</v>
      </c>
      <c r="J52" s="5" t="s">
        <v>28</v>
      </c>
    </row>
    <row r="53" ht="15.75" customHeight="1">
      <c r="B53" s="25" t="s">
        <v>29</v>
      </c>
      <c r="C53" s="26"/>
      <c r="D53" s="27"/>
      <c r="E53" s="25" t="s">
        <v>30</v>
      </c>
      <c r="F53" s="27"/>
      <c r="G53" s="25" t="s">
        <v>31</v>
      </c>
      <c r="H53" s="27"/>
      <c r="J53" s="25" t="s">
        <v>32</v>
      </c>
      <c r="K53" s="26"/>
      <c r="L53" s="26"/>
      <c r="M53" s="26"/>
      <c r="N53" s="27"/>
      <c r="O53" s="28" t="s">
        <v>33</v>
      </c>
      <c r="P53" s="28" t="s">
        <v>34</v>
      </c>
    </row>
    <row r="54" ht="15.75" customHeight="1">
      <c r="B54" s="29" t="str">
        <f>Marcos!C5</f>
        <v>Gerenciamento do Projeto</v>
      </c>
      <c r="C54" s="30"/>
      <c r="D54" s="31"/>
      <c r="E54" s="51" t="str">
        <f>TEXT(Marcos!D5,"DD/MM/YYYY")</f>
        <v>11/03/2026</v>
      </c>
      <c r="F54" s="31"/>
      <c r="G54" s="52" t="str">
        <f>Marcos!E5</f>
        <v>Concluído</v>
      </c>
      <c r="H54" s="31"/>
      <c r="J54" s="53" t="str">
        <f>CONCATENATE("R",TEXT(Dados!B50,"00")," · ",Dados!C50)</f>
        <v>R07 · Saída de um integrante da equipe durante o projeto</v>
      </c>
      <c r="K54" s="30"/>
      <c r="L54" s="30"/>
      <c r="M54" s="30"/>
      <c r="N54" s="31"/>
      <c r="O54" s="54">
        <f>Dados!D50</f>
        <v>20</v>
      </c>
      <c r="P54" s="55" t="str">
        <f>Dados!E50</f>
        <v>🔴 Alto</v>
      </c>
    </row>
    <row r="55" ht="15.75" customHeight="1">
      <c r="B55" s="29" t="str">
        <f>Marcos!C6</f>
        <v>Definição e Design</v>
      </c>
      <c r="C55" s="30"/>
      <c r="D55" s="31"/>
      <c r="E55" s="51" t="str">
        <f>TEXT(Marcos!D6,"DD/MM/YYYY")</f>
        <v>01/04/2026</v>
      </c>
      <c r="F55" s="31"/>
      <c r="G55" s="52" t="str">
        <f>Marcos!E6</f>
        <v>Concluído</v>
      </c>
      <c r="H55" s="31"/>
      <c r="J55" s="53" t="str">
        <f>CONCATENATE("R",TEXT(Dados!B51,"00")," · ",Dados!C51)</f>
        <v>R22 · Atraso no prazo final 01/07 devido à defasagem e redistribuição (MUD-01)</v>
      </c>
      <c r="K55" s="30"/>
      <c r="L55" s="30"/>
      <c r="M55" s="30"/>
      <c r="N55" s="31"/>
      <c r="O55" s="54">
        <f>Dados!D51</f>
        <v>16</v>
      </c>
      <c r="P55" s="55" t="str">
        <f>Dados!E51</f>
        <v>🔴 Alto</v>
      </c>
    </row>
    <row r="56" ht="15.75" customHeight="1">
      <c r="B56" s="29" t="str">
        <f>Marcos!C7</f>
        <v>Implementação das Funcionalidades</v>
      </c>
      <c r="C56" s="30"/>
      <c r="D56" s="31"/>
      <c r="E56" s="51" t="str">
        <f>TEXT(Marcos!D7,"DD/MM/YYYY")</f>
        <v>03/06/2026</v>
      </c>
      <c r="F56" s="31"/>
      <c r="G56" s="52" t="str">
        <f>Marcos!E7</f>
        <v>Previsto</v>
      </c>
      <c r="H56" s="31"/>
      <c r="J56" s="53" t="str">
        <f>CONCATENATE("R",TEXT(Dados!B52,"00")," · ",Dados!C52)</f>
        <v>R02 · Mudanças no escopo não controladas</v>
      </c>
      <c r="K56" s="30"/>
      <c r="L56" s="30"/>
      <c r="M56" s="30"/>
      <c r="N56" s="31"/>
      <c r="O56" s="54">
        <f>Dados!D52</f>
        <v>12</v>
      </c>
      <c r="P56" s="55" t="str">
        <f>Dados!E52</f>
        <v>🟡 Médio</v>
      </c>
    </row>
    <row r="57" ht="15.75" customHeight="1">
      <c r="B57" s="29" t="str">
        <f>Marcos!C8</f>
        <v>Testes e Documentação</v>
      </c>
      <c r="C57" s="30"/>
      <c r="D57" s="31"/>
      <c r="E57" s="51" t="str">
        <f>TEXT(Marcos!D8,"DD/MM/YYYY")</f>
        <v>17/06/2026</v>
      </c>
      <c r="F57" s="31"/>
      <c r="G57" s="52" t="str">
        <f>Marcos!E8</f>
        <v>Previsto</v>
      </c>
      <c r="H57" s="31"/>
      <c r="J57" s="53" t="str">
        <f>CONCATENATE("R",TEXT(Dados!B53,"00")," · ",Dados!C53)</f>
        <v>R06 · Disponibilidade limitada da equipe impactando o cronograma</v>
      </c>
      <c r="K57" s="30"/>
      <c r="L57" s="30"/>
      <c r="M57" s="30"/>
      <c r="N57" s="31"/>
      <c r="O57" s="54">
        <f>Dados!D53</f>
        <v>12</v>
      </c>
      <c r="P57" s="55" t="str">
        <f>Dados!E53</f>
        <v>🟡 Médio</v>
      </c>
    </row>
    <row r="58" ht="15.75" customHeight="1">
      <c r="B58" s="29" t="str">
        <f>Marcos!C9</f>
        <v>Divulgação e Encerramento</v>
      </c>
      <c r="C58" s="30"/>
      <c r="D58" s="31"/>
      <c r="E58" s="51" t="str">
        <f>TEXT(Marcos!D9,"DD/MM/YYYY")</f>
        <v>01/07/2026</v>
      </c>
      <c r="F58" s="31"/>
      <c r="G58" s="52" t="str">
        <f>Marcos!E9</f>
        <v>Previsto</v>
      </c>
      <c r="H58" s="31"/>
      <c r="J58" s="53" t="str">
        <f>CONCATENATE("R",TEXT(Dados!B54,"00")," · ",Dados!C54)</f>
        <v>R12 · Mudanças estruturais em frameworks suportados quebrando os templates gerados</v>
      </c>
      <c r="K58" s="30"/>
      <c r="L58" s="30"/>
      <c r="M58" s="30"/>
      <c r="N58" s="31"/>
      <c r="O58" s="54">
        <f>Dados!D54</f>
        <v>12</v>
      </c>
      <c r="P58" s="55" t="str">
        <f>Dados!E54</f>
        <v>🟡 Médio</v>
      </c>
    </row>
    <row r="59" ht="15.75" customHeight="1"/>
    <row r="60" ht="15.75" customHeight="1">
      <c r="B60" s="5" t="s">
        <v>35</v>
      </c>
    </row>
    <row r="61" ht="15.75" customHeight="1">
      <c r="B61" s="25" t="s">
        <v>36</v>
      </c>
      <c r="C61" s="26"/>
      <c r="D61" s="26"/>
      <c r="E61" s="26"/>
      <c r="F61" s="26"/>
      <c r="G61" s="26"/>
      <c r="H61" s="26"/>
      <c r="I61" s="27"/>
      <c r="J61" s="25" t="s">
        <v>37</v>
      </c>
      <c r="K61" s="26"/>
      <c r="L61" s="26"/>
      <c r="M61" s="27"/>
      <c r="N61" s="25" t="s">
        <v>38</v>
      </c>
      <c r="O61" s="27"/>
      <c r="P61" s="28" t="s">
        <v>39</v>
      </c>
    </row>
    <row r="62" ht="15.75" customHeight="1">
      <c r="B62" s="29" t="s">
        <v>40</v>
      </c>
      <c r="C62" s="30"/>
      <c r="D62" s="30"/>
      <c r="E62" s="30"/>
      <c r="F62" s="30"/>
      <c r="G62" s="30"/>
      <c r="H62" s="30"/>
      <c r="I62" s="31"/>
      <c r="J62" s="56" t="s">
        <v>41</v>
      </c>
      <c r="K62" s="30"/>
      <c r="L62" s="30"/>
      <c r="M62" s="31"/>
      <c r="N62" s="57" t="s">
        <v>42</v>
      </c>
      <c r="O62" s="31"/>
      <c r="P62" s="58" t="s">
        <v>43</v>
      </c>
    </row>
    <row r="63" ht="15.75" customHeight="1">
      <c r="B63" s="29" t="s">
        <v>44</v>
      </c>
      <c r="C63" s="30"/>
      <c r="D63" s="30"/>
      <c r="E63" s="30"/>
      <c r="F63" s="30"/>
      <c r="G63" s="30"/>
      <c r="H63" s="30"/>
      <c r="I63" s="31"/>
      <c r="J63" s="56" t="s">
        <v>45</v>
      </c>
      <c r="K63" s="30"/>
      <c r="L63" s="30"/>
      <c r="M63" s="31"/>
      <c r="N63" s="57" t="s">
        <v>42</v>
      </c>
      <c r="O63" s="31"/>
      <c r="P63" s="58" t="s">
        <v>43</v>
      </c>
    </row>
    <row r="64" ht="15.75" customHeight="1">
      <c r="B64" s="29" t="s">
        <v>46</v>
      </c>
      <c r="C64" s="30"/>
      <c r="D64" s="30"/>
      <c r="E64" s="30"/>
      <c r="F64" s="30"/>
      <c r="G64" s="30"/>
      <c r="H64" s="30"/>
      <c r="I64" s="31"/>
      <c r="J64" s="56" t="s">
        <v>47</v>
      </c>
      <c r="K64" s="30"/>
      <c r="L64" s="30"/>
      <c r="M64" s="31"/>
      <c r="N64" s="59" t="s">
        <v>48</v>
      </c>
      <c r="O64" s="31"/>
      <c r="P64" s="58" t="s">
        <v>49</v>
      </c>
    </row>
    <row r="65" ht="15.75" customHeight="1">
      <c r="B65" s="29" t="s">
        <v>50</v>
      </c>
      <c r="C65" s="30"/>
      <c r="D65" s="30"/>
      <c r="E65" s="30"/>
      <c r="F65" s="30"/>
      <c r="G65" s="30"/>
      <c r="H65" s="30"/>
      <c r="I65" s="31"/>
      <c r="J65" s="56" t="s">
        <v>51</v>
      </c>
      <c r="K65" s="30"/>
      <c r="L65" s="30"/>
      <c r="M65" s="31"/>
      <c r="N65" s="59" t="s">
        <v>48</v>
      </c>
      <c r="O65" s="31"/>
      <c r="P65" s="58" t="s">
        <v>52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8">
    <mergeCell ref="B54:D54"/>
    <mergeCell ref="E54:F54"/>
    <mergeCell ref="G54:H54"/>
    <mergeCell ref="J54:N54"/>
    <mergeCell ref="E55:F55"/>
    <mergeCell ref="G55:H55"/>
    <mergeCell ref="J55:N55"/>
    <mergeCell ref="B58:D58"/>
    <mergeCell ref="E58:F58"/>
    <mergeCell ref="G58:H58"/>
    <mergeCell ref="J58:N58"/>
    <mergeCell ref="B55:D55"/>
    <mergeCell ref="B56:D56"/>
    <mergeCell ref="E56:F56"/>
    <mergeCell ref="G56:H56"/>
    <mergeCell ref="B57:D57"/>
    <mergeCell ref="E57:F57"/>
    <mergeCell ref="G57:H57"/>
    <mergeCell ref="J63:M63"/>
    <mergeCell ref="N63:O63"/>
    <mergeCell ref="B64:I64"/>
    <mergeCell ref="J64:M64"/>
    <mergeCell ref="N64:O64"/>
    <mergeCell ref="B65:I65"/>
    <mergeCell ref="J65:M65"/>
    <mergeCell ref="N65:O65"/>
    <mergeCell ref="B61:I61"/>
    <mergeCell ref="J61:M61"/>
    <mergeCell ref="N61:O61"/>
    <mergeCell ref="B62:I62"/>
    <mergeCell ref="J62:M62"/>
    <mergeCell ref="N62:O62"/>
    <mergeCell ref="B63:I63"/>
    <mergeCell ref="B2:Q2"/>
    <mergeCell ref="B3:Q3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B10:D10"/>
    <mergeCell ref="E10:G10"/>
    <mergeCell ref="N10:P10"/>
    <mergeCell ref="M14:N14"/>
    <mergeCell ref="O14:P14"/>
    <mergeCell ref="M15:N15"/>
    <mergeCell ref="O15:P15"/>
    <mergeCell ref="M16:N16"/>
    <mergeCell ref="O16:P16"/>
    <mergeCell ref="M17:N17"/>
    <mergeCell ref="O17:P17"/>
    <mergeCell ref="H14:J14"/>
    <mergeCell ref="H15:J15"/>
    <mergeCell ref="H16:J16"/>
    <mergeCell ref="K16:L16"/>
    <mergeCell ref="H17:J17"/>
    <mergeCell ref="K17:L17"/>
    <mergeCell ref="H10:J10"/>
    <mergeCell ref="K10:M10"/>
    <mergeCell ref="B13:D13"/>
    <mergeCell ref="H13:J13"/>
    <mergeCell ref="B14:D14"/>
    <mergeCell ref="K14:L14"/>
    <mergeCell ref="K15:L15"/>
    <mergeCell ref="B15:D15"/>
    <mergeCell ref="B16:D16"/>
    <mergeCell ref="B17:D17"/>
    <mergeCell ref="B53:D53"/>
    <mergeCell ref="E53:F53"/>
    <mergeCell ref="G53:H53"/>
    <mergeCell ref="J53:N53"/>
    <mergeCell ref="J56:N56"/>
    <mergeCell ref="J57:N57"/>
  </mergeCells>
  <conditionalFormatting sqref="B8">
    <cfRule type="expression" dxfId="0" priority="1">
      <formula>1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7.0"/>
    <col customWidth="1" min="3" max="3" width="46.0"/>
    <col customWidth="1" min="4" max="5" width="11.0"/>
    <col customWidth="1" min="6" max="6" width="6.0"/>
    <col customWidth="1" min="7" max="7" width="7.0"/>
    <col customWidth="1" min="8" max="8" width="17.0"/>
    <col customWidth="1" min="9" max="9" width="8.0"/>
    <col customWidth="1" min="10" max="10" width="13.0"/>
    <col customWidth="1" min="11" max="11" width="15.29"/>
    <col customWidth="1" hidden="1" min="12" max="19" width="13.0"/>
    <col customWidth="1" hidden="1" min="20" max="20" width="8.71"/>
  </cols>
  <sheetData>
    <row r="1" ht="25.5" customHeight="1">
      <c r="A1" s="60" t="s">
        <v>53</v>
      </c>
      <c r="B1" s="2"/>
      <c r="C1" s="2"/>
      <c r="D1" s="2"/>
      <c r="E1" s="2"/>
      <c r="F1" s="2"/>
      <c r="G1" s="2"/>
      <c r="H1" s="2"/>
      <c r="I1" s="2"/>
      <c r="J1" s="2"/>
      <c r="K1" s="3"/>
      <c r="T1" s="61" t="s">
        <v>54</v>
      </c>
    </row>
    <row r="2" ht="14.25" customHeight="1">
      <c r="A2" s="62" t="s">
        <v>55</v>
      </c>
      <c r="B2" s="62" t="s">
        <v>56</v>
      </c>
      <c r="C2" s="62" t="s">
        <v>57</v>
      </c>
      <c r="D2" s="62" t="s">
        <v>58</v>
      </c>
      <c r="E2" s="62" t="s">
        <v>59</v>
      </c>
      <c r="F2" s="62" t="s">
        <v>60</v>
      </c>
      <c r="G2" s="62" t="s">
        <v>61</v>
      </c>
      <c r="H2" s="62" t="s">
        <v>39</v>
      </c>
      <c r="I2" s="62" t="s">
        <v>62</v>
      </c>
      <c r="J2" s="62" t="s">
        <v>31</v>
      </c>
      <c r="K2" s="62" t="s">
        <v>63</v>
      </c>
      <c r="L2" s="63" t="s">
        <v>64</v>
      </c>
      <c r="M2" s="61" t="s">
        <v>43</v>
      </c>
      <c r="N2" s="61" t="s">
        <v>65</v>
      </c>
      <c r="O2" s="61" t="s">
        <v>66</v>
      </c>
      <c r="P2" s="61" t="s">
        <v>67</v>
      </c>
      <c r="Q2" s="61" t="s">
        <v>68</v>
      </c>
      <c r="R2" s="61" t="s">
        <v>69</v>
      </c>
      <c r="S2" s="61" t="s">
        <v>70</v>
      </c>
      <c r="T2" s="63" t="s">
        <v>71</v>
      </c>
    </row>
    <row r="3" ht="14.25" customHeight="1">
      <c r="A3" s="64" t="s">
        <v>72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4.25" customHeight="1">
      <c r="A4" s="65">
        <v>4.0</v>
      </c>
      <c r="B4" s="65" t="s">
        <v>73</v>
      </c>
      <c r="C4" s="66" t="s">
        <v>74</v>
      </c>
      <c r="D4" s="67">
        <v>46085.0</v>
      </c>
      <c r="E4" s="67">
        <v>46087.0</v>
      </c>
      <c r="F4" s="65">
        <v>4.0</v>
      </c>
      <c r="G4" s="65">
        <v>8.0</v>
      </c>
      <c r="H4" s="66" t="s">
        <v>43</v>
      </c>
      <c r="I4" s="68">
        <v>1.0</v>
      </c>
      <c r="J4" s="55" t="str">
        <f>IF(I4&gt;=1,"✅ Concluída",IF(I4&gt;0,"🔵 Em execução",IF(E4&lt;'Parâmetros'!$C$10,"🔴 Atrasada","⚪ Não iniciada")))</f>
        <v>✅ Concluída</v>
      </c>
      <c r="K4" s="33">
        <f t="shared" ref="K4:K21" si="1">G4*I4</f>
        <v>8</v>
      </c>
      <c r="L4" s="69">
        <f>IF(E4=D4,IF('Parâmetros'!$C$10&gt;=E4,G4,0),G4*MEDIAN(0,1,('Parâmetros'!$C$10-D4)/(E4-D4)))</f>
        <v>8</v>
      </c>
      <c r="M4" s="69">
        <f t="shared" ref="M4:M21" si="2">IF(ISNUMBER(SEARCH("GP",H4)),G4/(LEN(H4)-LEN(SUBSTITUTE(H4,"+",""))+1),0)</f>
        <v>8</v>
      </c>
      <c r="N4" s="69">
        <f t="shared" ref="N4:N21" si="3">IF(ISNUMBER(SEARCH("PM",H4)),G4/(LEN(H4)-LEN(SUBSTITUTE(H4,"+",""))+1),0)</f>
        <v>0</v>
      </c>
      <c r="O4" s="69">
        <f t="shared" ref="O4:O21" si="4">IF(ISNUMBER(SEARCH("Dev #1",H4)),G4/(LEN(H4)-LEN(SUBSTITUTE(H4,"+",""))+1),0)</f>
        <v>0</v>
      </c>
      <c r="P4" s="69">
        <f t="shared" ref="P4:P21" si="5">IF(ISNUMBER(SEARCH("Dev #2",H4)),G4/(LEN(H4)-LEN(SUBSTITUTE(H4,"+",""))+1),0)</f>
        <v>0</v>
      </c>
      <c r="Q4" s="69">
        <f t="shared" ref="Q4:Q21" si="6">IF(ISNUMBER(SEARCH("Dev #3",H4)),G4/(LEN(H4)-LEN(SUBSTITUTE(H4,"+",""))+1),0)</f>
        <v>0</v>
      </c>
      <c r="R4" s="69">
        <f t="shared" ref="R4:R21" si="7">IF(ISNUMBER(SEARCH("MKT",H4)),G4/(LEN(H4)-LEN(SUBSTITUTE(H4,"+",""))+1),0)</f>
        <v>0</v>
      </c>
      <c r="S4" s="70">
        <f>(M4+N4)*'Parâmetros'!$C$15+(O4+P4+Q4+R4)*'Parâmetros'!$C$16</f>
        <v>240</v>
      </c>
      <c r="T4" s="70">
        <f t="shared" ref="T4:T21" si="8">S4*I4</f>
        <v>240</v>
      </c>
    </row>
    <row r="5" ht="14.25" customHeight="1">
      <c r="A5" s="65">
        <v>5.0</v>
      </c>
      <c r="B5" s="65" t="s">
        <v>73</v>
      </c>
      <c r="C5" s="66" t="s">
        <v>75</v>
      </c>
      <c r="D5" s="67">
        <v>46090.0</v>
      </c>
      <c r="E5" s="67">
        <v>46090.0</v>
      </c>
      <c r="F5" s="65">
        <v>2.0</v>
      </c>
      <c r="G5" s="65">
        <v>4.0</v>
      </c>
      <c r="H5" s="66" t="s">
        <v>43</v>
      </c>
      <c r="I5" s="68">
        <v>1.0</v>
      </c>
      <c r="J5" s="55" t="str">
        <f>IF(I5&gt;=1,"✅ Concluída",IF(I5&gt;0,"🔵 Em execução",IF(E5&lt;'Parâmetros'!$C$10,"🔴 Atrasada","⚪ Não iniciada")))</f>
        <v>✅ Concluída</v>
      </c>
      <c r="K5" s="33">
        <f t="shared" si="1"/>
        <v>4</v>
      </c>
      <c r="L5" s="69">
        <f>IF(E5=D5,IF('Parâmetros'!$C$10&gt;=E5,G5,0),G5*MEDIAN(0,1,('Parâmetros'!$C$10-D5)/(E5-D5)))</f>
        <v>4</v>
      </c>
      <c r="M5" s="69">
        <f t="shared" si="2"/>
        <v>4</v>
      </c>
      <c r="N5" s="69">
        <f t="shared" si="3"/>
        <v>0</v>
      </c>
      <c r="O5" s="69">
        <f t="shared" si="4"/>
        <v>0</v>
      </c>
      <c r="P5" s="69">
        <f t="shared" si="5"/>
        <v>0</v>
      </c>
      <c r="Q5" s="69">
        <f t="shared" si="6"/>
        <v>0</v>
      </c>
      <c r="R5" s="69">
        <f t="shared" si="7"/>
        <v>0</v>
      </c>
      <c r="S5" s="70">
        <f>(M5+N5)*'Parâmetros'!$C$15+(O5+P5+Q5+R5)*'Parâmetros'!$C$16</f>
        <v>120</v>
      </c>
      <c r="T5" s="70">
        <f t="shared" si="8"/>
        <v>120</v>
      </c>
    </row>
    <row r="6" ht="14.25" customHeight="1">
      <c r="A6" s="65">
        <v>6.0</v>
      </c>
      <c r="B6" s="65" t="s">
        <v>73</v>
      </c>
      <c r="C6" s="66" t="s">
        <v>76</v>
      </c>
      <c r="D6" s="67">
        <v>46090.0</v>
      </c>
      <c r="E6" s="67">
        <v>46090.0</v>
      </c>
      <c r="F6" s="65">
        <v>1.0</v>
      </c>
      <c r="G6" s="65">
        <v>2.0</v>
      </c>
      <c r="H6" s="66" t="s">
        <v>77</v>
      </c>
      <c r="I6" s="68">
        <v>1.0</v>
      </c>
      <c r="J6" s="55" t="str">
        <f>IF(I6&gt;=1,"✅ Concluída",IF(I6&gt;0,"🔵 Em execução",IF(E6&lt;'Parâmetros'!$C$10,"🔴 Atrasada","⚪ Não iniciada")))</f>
        <v>✅ Concluída</v>
      </c>
      <c r="K6" s="33">
        <f t="shared" si="1"/>
        <v>2</v>
      </c>
      <c r="L6" s="69">
        <f>IF(E6=D6,IF('Parâmetros'!$C$10&gt;=E6,G6,0),G6*MEDIAN(0,1,('Parâmetros'!$C$10-D6)/(E6-D6)))</f>
        <v>2</v>
      </c>
      <c r="M6" s="69">
        <f t="shared" si="2"/>
        <v>0</v>
      </c>
      <c r="N6" s="69">
        <f t="shared" si="3"/>
        <v>0</v>
      </c>
      <c r="O6" s="69">
        <f t="shared" si="4"/>
        <v>0</v>
      </c>
      <c r="P6" s="69">
        <f t="shared" si="5"/>
        <v>0</v>
      </c>
      <c r="Q6" s="69">
        <f t="shared" si="6"/>
        <v>0</v>
      </c>
      <c r="R6" s="69">
        <f t="shared" si="7"/>
        <v>0</v>
      </c>
      <c r="S6" s="70">
        <f>(M6+N6)*'Parâmetros'!$C$15+(O6+P6+Q6+R6)*'Parâmetros'!$C$16</f>
        <v>0</v>
      </c>
      <c r="T6" s="70">
        <f t="shared" si="8"/>
        <v>0</v>
      </c>
    </row>
    <row r="7" ht="14.25" customHeight="1">
      <c r="A7" s="65">
        <v>8.0</v>
      </c>
      <c r="B7" s="65" t="s">
        <v>78</v>
      </c>
      <c r="C7" s="66" t="s">
        <v>79</v>
      </c>
      <c r="D7" s="67">
        <v>46091.0</v>
      </c>
      <c r="E7" s="67">
        <v>46093.0</v>
      </c>
      <c r="F7" s="65">
        <v>4.0</v>
      </c>
      <c r="G7" s="65">
        <v>8.0</v>
      </c>
      <c r="H7" s="66" t="s">
        <v>80</v>
      </c>
      <c r="I7" s="68">
        <v>1.0</v>
      </c>
      <c r="J7" s="55" t="str">
        <f>IF(I7&gt;=1,"✅ Concluída",IF(I7&gt;0,"🔵 Em execução",IF(E7&lt;'Parâmetros'!$C$10,"🔴 Atrasada","⚪ Não iniciada")))</f>
        <v>✅ Concluída</v>
      </c>
      <c r="K7" s="33">
        <f t="shared" si="1"/>
        <v>8</v>
      </c>
      <c r="L7" s="69">
        <f>IF(E7=D7,IF('Parâmetros'!$C$10&gt;=E7,G7,0),G7*MEDIAN(0,1,('Parâmetros'!$C$10-D7)/(E7-D7)))</f>
        <v>8</v>
      </c>
      <c r="M7" s="69">
        <f t="shared" si="2"/>
        <v>4</v>
      </c>
      <c r="N7" s="69">
        <f t="shared" si="3"/>
        <v>4</v>
      </c>
      <c r="O7" s="69">
        <f t="shared" si="4"/>
        <v>0</v>
      </c>
      <c r="P7" s="69">
        <f t="shared" si="5"/>
        <v>0</v>
      </c>
      <c r="Q7" s="69">
        <f t="shared" si="6"/>
        <v>0</v>
      </c>
      <c r="R7" s="69">
        <f t="shared" si="7"/>
        <v>0</v>
      </c>
      <c r="S7" s="70">
        <f>(M7+N7)*'Parâmetros'!$C$15+(O7+P7+Q7+R7)*'Parâmetros'!$C$16</f>
        <v>240</v>
      </c>
      <c r="T7" s="70">
        <f t="shared" si="8"/>
        <v>240</v>
      </c>
    </row>
    <row r="8" ht="14.25" customHeight="1">
      <c r="A8" s="65">
        <v>9.0</v>
      </c>
      <c r="B8" s="65" t="s">
        <v>78</v>
      </c>
      <c r="C8" s="66" t="s">
        <v>81</v>
      </c>
      <c r="D8" s="67">
        <v>46094.0</v>
      </c>
      <c r="E8" s="67">
        <v>46094.0</v>
      </c>
      <c r="F8" s="65">
        <v>2.0</v>
      </c>
      <c r="G8" s="65">
        <v>4.0</v>
      </c>
      <c r="H8" s="66" t="s">
        <v>43</v>
      </c>
      <c r="I8" s="68">
        <v>1.0</v>
      </c>
      <c r="J8" s="55" t="str">
        <f>IF(I8&gt;=1,"✅ Concluída",IF(I8&gt;0,"🔵 Em execução",IF(E8&lt;'Parâmetros'!$C$10,"🔴 Atrasada","⚪ Não iniciada")))</f>
        <v>✅ Concluída</v>
      </c>
      <c r="K8" s="33">
        <f t="shared" si="1"/>
        <v>4</v>
      </c>
      <c r="L8" s="69">
        <f>IF(E8=D8,IF('Parâmetros'!$C$10&gt;=E8,G8,0),G8*MEDIAN(0,1,('Parâmetros'!$C$10-D8)/(E8-D8)))</f>
        <v>4</v>
      </c>
      <c r="M8" s="69">
        <f t="shared" si="2"/>
        <v>4</v>
      </c>
      <c r="N8" s="69">
        <f t="shared" si="3"/>
        <v>0</v>
      </c>
      <c r="O8" s="69">
        <f t="shared" si="4"/>
        <v>0</v>
      </c>
      <c r="P8" s="69">
        <f t="shared" si="5"/>
        <v>0</v>
      </c>
      <c r="Q8" s="69">
        <f t="shared" si="6"/>
        <v>0</v>
      </c>
      <c r="R8" s="69">
        <f t="shared" si="7"/>
        <v>0</v>
      </c>
      <c r="S8" s="70">
        <f>(M8+N8)*'Parâmetros'!$C$15+(O8+P8+Q8+R8)*'Parâmetros'!$C$16</f>
        <v>120</v>
      </c>
      <c r="T8" s="70">
        <f t="shared" si="8"/>
        <v>120</v>
      </c>
    </row>
    <row r="9" ht="14.25" customHeight="1">
      <c r="A9" s="65">
        <v>10.0</v>
      </c>
      <c r="B9" s="65" t="s">
        <v>78</v>
      </c>
      <c r="C9" s="66" t="s">
        <v>82</v>
      </c>
      <c r="D9" s="67">
        <v>46097.0</v>
      </c>
      <c r="E9" s="67">
        <v>46097.0</v>
      </c>
      <c r="F9" s="65">
        <v>2.0</v>
      </c>
      <c r="G9" s="65">
        <v>4.0</v>
      </c>
      <c r="H9" s="66" t="s">
        <v>43</v>
      </c>
      <c r="I9" s="68">
        <v>1.0</v>
      </c>
      <c r="J9" s="55" t="str">
        <f>IF(I9&gt;=1,"✅ Concluída",IF(I9&gt;0,"🔵 Em execução",IF(E9&lt;'Parâmetros'!$C$10,"🔴 Atrasada","⚪ Não iniciada")))</f>
        <v>✅ Concluída</v>
      </c>
      <c r="K9" s="33">
        <f t="shared" si="1"/>
        <v>4</v>
      </c>
      <c r="L9" s="69">
        <f>IF(E9=D9,IF('Parâmetros'!$C$10&gt;=E9,G9,0),G9*MEDIAN(0,1,('Parâmetros'!$C$10-D9)/(E9-D9)))</f>
        <v>4</v>
      </c>
      <c r="M9" s="69">
        <f t="shared" si="2"/>
        <v>4</v>
      </c>
      <c r="N9" s="69">
        <f t="shared" si="3"/>
        <v>0</v>
      </c>
      <c r="O9" s="69">
        <f t="shared" si="4"/>
        <v>0</v>
      </c>
      <c r="P9" s="69">
        <f t="shared" si="5"/>
        <v>0</v>
      </c>
      <c r="Q9" s="69">
        <f t="shared" si="6"/>
        <v>0</v>
      </c>
      <c r="R9" s="69">
        <f t="shared" si="7"/>
        <v>0</v>
      </c>
      <c r="S9" s="70">
        <f>(M9+N9)*'Parâmetros'!$C$15+(O9+P9+Q9+R9)*'Parâmetros'!$C$16</f>
        <v>120</v>
      </c>
      <c r="T9" s="70">
        <f t="shared" si="8"/>
        <v>120</v>
      </c>
    </row>
    <row r="10" ht="14.25" customHeight="1">
      <c r="A10" s="65">
        <v>12.0</v>
      </c>
      <c r="B10" s="65" t="s">
        <v>83</v>
      </c>
      <c r="C10" s="66" t="s">
        <v>84</v>
      </c>
      <c r="D10" s="67">
        <v>46094.0</v>
      </c>
      <c r="E10" s="67">
        <v>46094.0</v>
      </c>
      <c r="F10" s="65">
        <v>2.0</v>
      </c>
      <c r="G10" s="65">
        <v>4.0</v>
      </c>
      <c r="H10" s="66" t="s">
        <v>65</v>
      </c>
      <c r="I10" s="68">
        <v>1.0</v>
      </c>
      <c r="J10" s="55" t="str">
        <f>IF(I10&gt;=1,"✅ Concluída",IF(I10&gt;0,"🔵 Em execução",IF(E10&lt;'Parâmetros'!$C$10,"🔴 Atrasada","⚪ Não iniciada")))</f>
        <v>✅ Concluída</v>
      </c>
      <c r="K10" s="33">
        <f t="shared" si="1"/>
        <v>4</v>
      </c>
      <c r="L10" s="69">
        <f>IF(E10=D10,IF('Parâmetros'!$C$10&gt;=E10,G10,0),G10*MEDIAN(0,1,('Parâmetros'!$C$10-D10)/(E10-D10)))</f>
        <v>4</v>
      </c>
      <c r="M10" s="69">
        <f t="shared" si="2"/>
        <v>0</v>
      </c>
      <c r="N10" s="69">
        <f t="shared" si="3"/>
        <v>4</v>
      </c>
      <c r="O10" s="69">
        <f t="shared" si="4"/>
        <v>0</v>
      </c>
      <c r="P10" s="69">
        <f t="shared" si="5"/>
        <v>0</v>
      </c>
      <c r="Q10" s="69">
        <f t="shared" si="6"/>
        <v>0</v>
      </c>
      <c r="R10" s="69">
        <f t="shared" si="7"/>
        <v>0</v>
      </c>
      <c r="S10" s="70">
        <f>(M10+N10)*'Parâmetros'!$C$15+(O10+P10+Q10+R10)*'Parâmetros'!$C$16</f>
        <v>120</v>
      </c>
      <c r="T10" s="70">
        <f t="shared" si="8"/>
        <v>120</v>
      </c>
    </row>
    <row r="11" ht="14.25" customHeight="1">
      <c r="A11" s="65">
        <v>13.0</v>
      </c>
      <c r="B11" s="65" t="s">
        <v>83</v>
      </c>
      <c r="C11" s="66" t="s">
        <v>85</v>
      </c>
      <c r="D11" s="67">
        <v>46097.0</v>
      </c>
      <c r="E11" s="67">
        <v>46097.0</v>
      </c>
      <c r="F11" s="65">
        <v>2.0</v>
      </c>
      <c r="G11" s="65">
        <v>4.0</v>
      </c>
      <c r="H11" s="66" t="s">
        <v>65</v>
      </c>
      <c r="I11" s="68">
        <v>1.0</v>
      </c>
      <c r="J11" s="55" t="str">
        <f>IF(I11&gt;=1,"✅ Concluída",IF(I11&gt;0,"🔵 Em execução",IF(E11&lt;'Parâmetros'!$C$10,"🔴 Atrasada","⚪ Não iniciada")))</f>
        <v>✅ Concluída</v>
      </c>
      <c r="K11" s="33">
        <f t="shared" si="1"/>
        <v>4</v>
      </c>
      <c r="L11" s="69">
        <f>IF(E11=D11,IF('Parâmetros'!$C$10&gt;=E11,G11,0),G11*MEDIAN(0,1,('Parâmetros'!$C$10-D11)/(E11-D11)))</f>
        <v>4</v>
      </c>
      <c r="M11" s="69">
        <f t="shared" si="2"/>
        <v>0</v>
      </c>
      <c r="N11" s="69">
        <f t="shared" si="3"/>
        <v>4</v>
      </c>
      <c r="O11" s="69">
        <f t="shared" si="4"/>
        <v>0</v>
      </c>
      <c r="P11" s="69">
        <f t="shared" si="5"/>
        <v>0</v>
      </c>
      <c r="Q11" s="69">
        <f t="shared" si="6"/>
        <v>0</v>
      </c>
      <c r="R11" s="69">
        <f t="shared" si="7"/>
        <v>0</v>
      </c>
      <c r="S11" s="70">
        <f>(M11+N11)*'Parâmetros'!$C$15+(O11+P11+Q11+R11)*'Parâmetros'!$C$16</f>
        <v>120</v>
      </c>
      <c r="T11" s="70">
        <f t="shared" si="8"/>
        <v>120</v>
      </c>
    </row>
    <row r="12" ht="14.25" customHeight="1">
      <c r="A12" s="65">
        <v>14.0</v>
      </c>
      <c r="B12" s="65" t="s">
        <v>83</v>
      </c>
      <c r="C12" s="66" t="s">
        <v>86</v>
      </c>
      <c r="D12" s="67">
        <v>46098.0</v>
      </c>
      <c r="E12" s="67">
        <v>46098.0</v>
      </c>
      <c r="F12" s="65">
        <v>2.0</v>
      </c>
      <c r="G12" s="65">
        <v>4.0</v>
      </c>
      <c r="H12" s="66" t="s">
        <v>43</v>
      </c>
      <c r="I12" s="68">
        <v>1.0</v>
      </c>
      <c r="J12" s="55" t="str">
        <f>IF(I12&gt;=1,"✅ Concluída",IF(I12&gt;0,"🔵 Em execução",IF(E12&lt;'Parâmetros'!$C$10,"🔴 Atrasada","⚪ Não iniciada")))</f>
        <v>✅ Concluída</v>
      </c>
      <c r="K12" s="33">
        <f t="shared" si="1"/>
        <v>4</v>
      </c>
      <c r="L12" s="69">
        <f>IF(E12=D12,IF('Parâmetros'!$C$10&gt;=E12,G12,0),G12*MEDIAN(0,1,('Parâmetros'!$C$10-D12)/(E12-D12)))</f>
        <v>4</v>
      </c>
      <c r="M12" s="69">
        <f t="shared" si="2"/>
        <v>4</v>
      </c>
      <c r="N12" s="69">
        <f t="shared" si="3"/>
        <v>0</v>
      </c>
      <c r="O12" s="69">
        <f t="shared" si="4"/>
        <v>0</v>
      </c>
      <c r="P12" s="69">
        <f t="shared" si="5"/>
        <v>0</v>
      </c>
      <c r="Q12" s="69">
        <f t="shared" si="6"/>
        <v>0</v>
      </c>
      <c r="R12" s="69">
        <f t="shared" si="7"/>
        <v>0</v>
      </c>
      <c r="S12" s="70">
        <f>(M12+N12)*'Parâmetros'!$C$15+(O12+P12+Q12+R12)*'Parâmetros'!$C$16</f>
        <v>120</v>
      </c>
      <c r="T12" s="70">
        <f t="shared" si="8"/>
        <v>120</v>
      </c>
    </row>
    <row r="13" ht="14.25" customHeight="1">
      <c r="A13" s="65">
        <v>16.0</v>
      </c>
      <c r="B13" s="65" t="s">
        <v>87</v>
      </c>
      <c r="C13" s="66" t="s">
        <v>88</v>
      </c>
      <c r="D13" s="67">
        <v>46099.0</v>
      </c>
      <c r="E13" s="67">
        <v>46099.0</v>
      </c>
      <c r="F13" s="65">
        <v>2.0</v>
      </c>
      <c r="G13" s="65">
        <v>4.0</v>
      </c>
      <c r="H13" s="66" t="s">
        <v>43</v>
      </c>
      <c r="I13" s="68">
        <v>1.0</v>
      </c>
      <c r="J13" s="55" t="str">
        <f>IF(I13&gt;=1,"✅ Concluída",IF(I13&gt;0,"🔵 Em execução",IF(E13&lt;'Parâmetros'!$C$10,"🔴 Atrasada","⚪ Não iniciada")))</f>
        <v>✅ Concluída</v>
      </c>
      <c r="K13" s="33">
        <f t="shared" si="1"/>
        <v>4</v>
      </c>
      <c r="L13" s="69">
        <f>IF(E13=D13,IF('Parâmetros'!$C$10&gt;=E13,G13,0),G13*MEDIAN(0,1,('Parâmetros'!$C$10-D13)/(E13-D13)))</f>
        <v>4</v>
      </c>
      <c r="M13" s="69">
        <f t="shared" si="2"/>
        <v>4</v>
      </c>
      <c r="N13" s="69">
        <f t="shared" si="3"/>
        <v>0</v>
      </c>
      <c r="O13" s="69">
        <f t="shared" si="4"/>
        <v>0</v>
      </c>
      <c r="P13" s="69">
        <f t="shared" si="5"/>
        <v>0</v>
      </c>
      <c r="Q13" s="69">
        <f t="shared" si="6"/>
        <v>0</v>
      </c>
      <c r="R13" s="69">
        <f t="shared" si="7"/>
        <v>0</v>
      </c>
      <c r="S13" s="70">
        <f>(M13+N13)*'Parâmetros'!$C$15+(O13+P13+Q13+R13)*'Parâmetros'!$C$16</f>
        <v>120</v>
      </c>
      <c r="T13" s="70">
        <f t="shared" si="8"/>
        <v>120</v>
      </c>
    </row>
    <row r="14" ht="14.25" customHeight="1">
      <c r="A14" s="65">
        <v>17.0</v>
      </c>
      <c r="B14" s="65" t="s">
        <v>87</v>
      </c>
      <c r="C14" s="66" t="s">
        <v>89</v>
      </c>
      <c r="D14" s="67">
        <v>46100.0</v>
      </c>
      <c r="E14" s="67">
        <v>46100.0</v>
      </c>
      <c r="F14" s="65">
        <v>2.0</v>
      </c>
      <c r="G14" s="65">
        <v>4.0</v>
      </c>
      <c r="H14" s="66" t="s">
        <v>43</v>
      </c>
      <c r="I14" s="68">
        <v>1.0</v>
      </c>
      <c r="J14" s="55" t="str">
        <f>IF(I14&gt;=1,"✅ Concluída",IF(I14&gt;0,"🔵 Em execução",IF(E14&lt;'Parâmetros'!$C$10,"🔴 Atrasada","⚪ Não iniciada")))</f>
        <v>✅ Concluída</v>
      </c>
      <c r="K14" s="33">
        <f t="shared" si="1"/>
        <v>4</v>
      </c>
      <c r="L14" s="69">
        <f>IF(E14=D14,IF('Parâmetros'!$C$10&gt;=E14,G14,0),G14*MEDIAN(0,1,('Parâmetros'!$C$10-D14)/(E14-D14)))</f>
        <v>4</v>
      </c>
      <c r="M14" s="69">
        <f t="shared" si="2"/>
        <v>4</v>
      </c>
      <c r="N14" s="69">
        <f t="shared" si="3"/>
        <v>0</v>
      </c>
      <c r="O14" s="69">
        <f t="shared" si="4"/>
        <v>0</v>
      </c>
      <c r="P14" s="69">
        <f t="shared" si="5"/>
        <v>0</v>
      </c>
      <c r="Q14" s="69">
        <f t="shared" si="6"/>
        <v>0</v>
      </c>
      <c r="R14" s="69">
        <f t="shared" si="7"/>
        <v>0</v>
      </c>
      <c r="S14" s="70">
        <f>(M14+N14)*'Parâmetros'!$C$15+(O14+P14+Q14+R14)*'Parâmetros'!$C$16</f>
        <v>120</v>
      </c>
      <c r="T14" s="70">
        <f t="shared" si="8"/>
        <v>120</v>
      </c>
    </row>
    <row r="15" ht="14.25" customHeight="1">
      <c r="A15" s="65">
        <v>18.0</v>
      </c>
      <c r="B15" s="65" t="s">
        <v>87</v>
      </c>
      <c r="C15" s="66" t="s">
        <v>90</v>
      </c>
      <c r="D15" s="67">
        <v>46101.0</v>
      </c>
      <c r="E15" s="67">
        <v>46105.0</v>
      </c>
      <c r="F15" s="65">
        <v>4.0</v>
      </c>
      <c r="G15" s="65">
        <v>8.0</v>
      </c>
      <c r="H15" s="66" t="s">
        <v>43</v>
      </c>
      <c r="I15" s="68">
        <v>1.0</v>
      </c>
      <c r="J15" s="55" t="str">
        <f>IF(I15&gt;=1,"✅ Concluída",IF(I15&gt;0,"🔵 Em execução",IF(E15&lt;'Parâmetros'!$C$10,"🔴 Atrasada","⚪ Não iniciada")))</f>
        <v>✅ Concluída</v>
      </c>
      <c r="K15" s="33">
        <f t="shared" si="1"/>
        <v>8</v>
      </c>
      <c r="L15" s="69">
        <f>IF(E15=D15,IF('Parâmetros'!$C$10&gt;=E15,G15,0),G15*MEDIAN(0,1,('Parâmetros'!$C$10-D15)/(E15-D15)))</f>
        <v>8</v>
      </c>
      <c r="M15" s="69">
        <f t="shared" si="2"/>
        <v>8</v>
      </c>
      <c r="N15" s="69">
        <f t="shared" si="3"/>
        <v>0</v>
      </c>
      <c r="O15" s="69">
        <f t="shared" si="4"/>
        <v>0</v>
      </c>
      <c r="P15" s="69">
        <f t="shared" si="5"/>
        <v>0</v>
      </c>
      <c r="Q15" s="69">
        <f t="shared" si="6"/>
        <v>0</v>
      </c>
      <c r="R15" s="69">
        <f t="shared" si="7"/>
        <v>0</v>
      </c>
      <c r="S15" s="70">
        <f>(M15+N15)*'Parâmetros'!$C$15+(O15+P15+Q15+R15)*'Parâmetros'!$C$16</f>
        <v>240</v>
      </c>
      <c r="T15" s="70">
        <f t="shared" si="8"/>
        <v>240</v>
      </c>
    </row>
    <row r="16" ht="14.25" customHeight="1">
      <c r="A16" s="65">
        <v>20.0</v>
      </c>
      <c r="B16" s="65" t="s">
        <v>91</v>
      </c>
      <c r="C16" s="66" t="s">
        <v>92</v>
      </c>
      <c r="D16" s="67">
        <v>46106.0</v>
      </c>
      <c r="E16" s="67">
        <v>46204.0</v>
      </c>
      <c r="F16" s="65">
        <v>6.0</v>
      </c>
      <c r="G16" s="65">
        <v>12.0</v>
      </c>
      <c r="H16" s="66" t="s">
        <v>43</v>
      </c>
      <c r="I16" s="68">
        <v>0.0</v>
      </c>
      <c r="J16" s="55" t="str">
        <f>IF(I16&gt;=1,"✅ Concluída",IF(I16&gt;0,"🔵 Em execução",IF(E16&lt;'Parâmetros'!$C$10,"🔴 Atrasada","⚪ Não iniciada")))</f>
        <v>⚪ Não iniciada</v>
      </c>
      <c r="K16" s="33">
        <f t="shared" si="1"/>
        <v>0</v>
      </c>
      <c r="L16" s="69">
        <f>IF(E16=D16,IF('Parâmetros'!$C$10&gt;=E16,G16,0),G16*MEDIAN(0,1,('Parâmetros'!$C$10-D16)/(E16-D16)))</f>
        <v>8.204081633</v>
      </c>
      <c r="M16" s="69">
        <f t="shared" si="2"/>
        <v>12</v>
      </c>
      <c r="N16" s="69">
        <f t="shared" si="3"/>
        <v>0</v>
      </c>
      <c r="O16" s="69">
        <f t="shared" si="4"/>
        <v>0</v>
      </c>
      <c r="P16" s="69">
        <f t="shared" si="5"/>
        <v>0</v>
      </c>
      <c r="Q16" s="69">
        <f t="shared" si="6"/>
        <v>0</v>
      </c>
      <c r="R16" s="69">
        <f t="shared" si="7"/>
        <v>0</v>
      </c>
      <c r="S16" s="70">
        <f>(M16+N16)*'Parâmetros'!$C$15+(O16+P16+Q16+R16)*'Parâmetros'!$C$16</f>
        <v>360</v>
      </c>
      <c r="T16" s="70">
        <f t="shared" si="8"/>
        <v>0</v>
      </c>
    </row>
    <row r="17" ht="14.25" customHeight="1">
      <c r="A17" s="65">
        <v>21.0</v>
      </c>
      <c r="B17" s="65" t="s">
        <v>91</v>
      </c>
      <c r="C17" s="66" t="s">
        <v>93</v>
      </c>
      <c r="D17" s="67">
        <v>46106.0</v>
      </c>
      <c r="E17" s="67">
        <v>46204.0</v>
      </c>
      <c r="F17" s="65">
        <v>4.0</v>
      </c>
      <c r="G17" s="65">
        <v>8.0</v>
      </c>
      <c r="H17" s="66" t="s">
        <v>43</v>
      </c>
      <c r="I17" s="68">
        <v>0.0</v>
      </c>
      <c r="J17" s="55" t="str">
        <f>IF(I17&gt;=1,"✅ Concluída",IF(I17&gt;0,"🔵 Em execução",IF(E17&lt;'Parâmetros'!$C$10,"🔴 Atrasada","⚪ Não iniciada")))</f>
        <v>⚪ Não iniciada</v>
      </c>
      <c r="K17" s="33">
        <f t="shared" si="1"/>
        <v>0</v>
      </c>
      <c r="L17" s="69">
        <f>IF(E17=D17,IF('Parâmetros'!$C$10&gt;=E17,G17,0),G17*MEDIAN(0,1,('Parâmetros'!$C$10-D17)/(E17-D17)))</f>
        <v>5.469387755</v>
      </c>
      <c r="M17" s="69">
        <f t="shared" si="2"/>
        <v>8</v>
      </c>
      <c r="N17" s="69">
        <f t="shared" si="3"/>
        <v>0</v>
      </c>
      <c r="O17" s="69">
        <f t="shared" si="4"/>
        <v>0</v>
      </c>
      <c r="P17" s="69">
        <f t="shared" si="5"/>
        <v>0</v>
      </c>
      <c r="Q17" s="69">
        <f t="shared" si="6"/>
        <v>0</v>
      </c>
      <c r="R17" s="69">
        <f t="shared" si="7"/>
        <v>0</v>
      </c>
      <c r="S17" s="70">
        <f>(M17+N17)*'Parâmetros'!$C$15+(O17+P17+Q17+R17)*'Parâmetros'!$C$16</f>
        <v>240</v>
      </c>
      <c r="T17" s="70">
        <f t="shared" si="8"/>
        <v>0</v>
      </c>
    </row>
    <row r="18" ht="14.25" customHeight="1">
      <c r="A18" s="65">
        <v>22.0</v>
      </c>
      <c r="B18" s="65" t="s">
        <v>91</v>
      </c>
      <c r="C18" s="66" t="s">
        <v>94</v>
      </c>
      <c r="D18" s="67">
        <v>46106.0</v>
      </c>
      <c r="E18" s="67">
        <v>46203.0</v>
      </c>
      <c r="F18" s="65">
        <v>2.0</v>
      </c>
      <c r="G18" s="65">
        <v>4.0</v>
      </c>
      <c r="H18" s="66" t="s">
        <v>43</v>
      </c>
      <c r="I18" s="68">
        <v>0.0</v>
      </c>
      <c r="J18" s="55" t="str">
        <f>IF(I18&gt;=1,"✅ Concluída",IF(I18&gt;0,"🔵 Em execução",IF(E18&lt;'Parâmetros'!$C$10,"🔴 Atrasada","⚪ Não iniciada")))</f>
        <v>⚪ Não iniciada</v>
      </c>
      <c r="K18" s="33">
        <f t="shared" si="1"/>
        <v>0</v>
      </c>
      <c r="L18" s="69">
        <f>IF(E18=D18,IF('Parâmetros'!$C$10&gt;=E18,G18,0),G18*MEDIAN(0,1,('Parâmetros'!$C$10-D18)/(E18-D18)))</f>
        <v>2.762886598</v>
      </c>
      <c r="M18" s="69">
        <f t="shared" si="2"/>
        <v>4</v>
      </c>
      <c r="N18" s="69">
        <f t="shared" si="3"/>
        <v>0</v>
      </c>
      <c r="O18" s="69">
        <f t="shared" si="4"/>
        <v>0</v>
      </c>
      <c r="P18" s="69">
        <f t="shared" si="5"/>
        <v>0</v>
      </c>
      <c r="Q18" s="69">
        <f t="shared" si="6"/>
        <v>0</v>
      </c>
      <c r="R18" s="69">
        <f t="shared" si="7"/>
        <v>0</v>
      </c>
      <c r="S18" s="70">
        <f>(M18+N18)*'Parâmetros'!$C$15+(O18+P18+Q18+R18)*'Parâmetros'!$C$16</f>
        <v>120</v>
      </c>
      <c r="T18" s="70">
        <f t="shared" si="8"/>
        <v>0</v>
      </c>
    </row>
    <row r="19" ht="14.25" customHeight="1">
      <c r="A19" s="65">
        <v>24.0</v>
      </c>
      <c r="B19" s="65" t="s">
        <v>95</v>
      </c>
      <c r="C19" s="66" t="s">
        <v>96</v>
      </c>
      <c r="D19" s="67">
        <v>46198.0</v>
      </c>
      <c r="E19" s="67">
        <v>46199.0</v>
      </c>
      <c r="F19" s="65">
        <v>3.0</v>
      </c>
      <c r="G19" s="65">
        <v>6.0</v>
      </c>
      <c r="H19" s="66" t="s">
        <v>43</v>
      </c>
      <c r="I19" s="68">
        <v>0.0</v>
      </c>
      <c r="J19" s="55" t="str">
        <f>IF(I19&gt;=1,"✅ Concluída",IF(I19&gt;0,"🔵 Em execução",IF(E19&lt;'Parâmetros'!$C$10,"🔴 Atrasada","⚪ Não iniciada")))</f>
        <v>⚪ Não iniciada</v>
      </c>
      <c r="K19" s="33">
        <f t="shared" si="1"/>
        <v>0</v>
      </c>
      <c r="L19" s="69">
        <f>IF(E19=D19,IF('Parâmetros'!$C$10&gt;=E19,G19,0),G19*MEDIAN(0,1,('Parâmetros'!$C$10-D19)/(E19-D19)))</f>
        <v>0</v>
      </c>
      <c r="M19" s="69">
        <f t="shared" si="2"/>
        <v>6</v>
      </c>
      <c r="N19" s="69">
        <f t="shared" si="3"/>
        <v>0</v>
      </c>
      <c r="O19" s="69">
        <f t="shared" si="4"/>
        <v>0</v>
      </c>
      <c r="P19" s="69">
        <f t="shared" si="5"/>
        <v>0</v>
      </c>
      <c r="Q19" s="69">
        <f t="shared" si="6"/>
        <v>0</v>
      </c>
      <c r="R19" s="69">
        <f t="shared" si="7"/>
        <v>0</v>
      </c>
      <c r="S19" s="70">
        <f>(M19+N19)*'Parâmetros'!$C$15+(O19+P19+Q19+R19)*'Parâmetros'!$C$16</f>
        <v>180</v>
      </c>
      <c r="T19" s="70">
        <f t="shared" si="8"/>
        <v>0</v>
      </c>
    </row>
    <row r="20" ht="14.25" customHeight="1">
      <c r="A20" s="65">
        <v>25.0</v>
      </c>
      <c r="B20" s="65" t="s">
        <v>95</v>
      </c>
      <c r="C20" s="66" t="s">
        <v>97</v>
      </c>
      <c r="D20" s="67">
        <v>46202.0</v>
      </c>
      <c r="E20" s="67">
        <v>46202.0</v>
      </c>
      <c r="F20" s="65">
        <v>2.0</v>
      </c>
      <c r="G20" s="65">
        <v>4.0</v>
      </c>
      <c r="H20" s="66" t="s">
        <v>43</v>
      </c>
      <c r="I20" s="68">
        <v>0.0</v>
      </c>
      <c r="J20" s="55" t="str">
        <f>IF(I20&gt;=1,"✅ Concluída",IF(I20&gt;0,"🔵 Em execução",IF(E20&lt;'Parâmetros'!$C$10,"🔴 Atrasada","⚪ Não iniciada")))</f>
        <v>⚪ Não iniciada</v>
      </c>
      <c r="K20" s="33">
        <f t="shared" si="1"/>
        <v>0</v>
      </c>
      <c r="L20" s="69">
        <f>IF(E20=D20,IF('Parâmetros'!$C$10&gt;=E20,G20,0),G20*MEDIAN(0,1,('Parâmetros'!$C$10-D20)/(E20-D20)))</f>
        <v>0</v>
      </c>
      <c r="M20" s="69">
        <f t="shared" si="2"/>
        <v>4</v>
      </c>
      <c r="N20" s="69">
        <f t="shared" si="3"/>
        <v>0</v>
      </c>
      <c r="O20" s="69">
        <f t="shared" si="4"/>
        <v>0</v>
      </c>
      <c r="P20" s="69">
        <f t="shared" si="5"/>
        <v>0</v>
      </c>
      <c r="Q20" s="69">
        <f t="shared" si="6"/>
        <v>0</v>
      </c>
      <c r="R20" s="69">
        <f t="shared" si="7"/>
        <v>0</v>
      </c>
      <c r="S20" s="70">
        <f>(M20+N20)*'Parâmetros'!$C$15+(O20+P20+Q20+R20)*'Parâmetros'!$C$16</f>
        <v>120</v>
      </c>
      <c r="T20" s="70">
        <f t="shared" si="8"/>
        <v>0</v>
      </c>
    </row>
    <row r="21" ht="15.75" customHeight="1">
      <c r="A21" s="65">
        <v>26.0</v>
      </c>
      <c r="B21" s="65" t="s">
        <v>95</v>
      </c>
      <c r="C21" s="66" t="s">
        <v>98</v>
      </c>
      <c r="D21" s="67">
        <v>46204.0</v>
      </c>
      <c r="E21" s="67">
        <v>46204.0</v>
      </c>
      <c r="F21" s="65">
        <v>1.0</v>
      </c>
      <c r="G21" s="65">
        <v>2.0</v>
      </c>
      <c r="H21" s="66" t="s">
        <v>77</v>
      </c>
      <c r="I21" s="68">
        <v>0.0</v>
      </c>
      <c r="J21" s="55" t="str">
        <f>IF(I21&gt;=1,"✅ Concluída",IF(I21&gt;0,"🔵 Em execução",IF(E21&lt;'Parâmetros'!$C$10,"🔴 Atrasada","⚪ Não iniciada")))</f>
        <v>⚪ Não iniciada</v>
      </c>
      <c r="K21" s="33">
        <f t="shared" si="1"/>
        <v>0</v>
      </c>
      <c r="L21" s="69">
        <f>IF(E21=D21,IF('Parâmetros'!$C$10&gt;=E21,G21,0),G21*MEDIAN(0,1,('Parâmetros'!$C$10-D21)/(E21-D21)))</f>
        <v>0</v>
      </c>
      <c r="M21" s="69">
        <f t="shared" si="2"/>
        <v>0</v>
      </c>
      <c r="N21" s="69">
        <f t="shared" si="3"/>
        <v>0</v>
      </c>
      <c r="O21" s="69">
        <f t="shared" si="4"/>
        <v>0</v>
      </c>
      <c r="P21" s="69">
        <f t="shared" si="5"/>
        <v>0</v>
      </c>
      <c r="Q21" s="69">
        <f t="shared" si="6"/>
        <v>0</v>
      </c>
      <c r="R21" s="69">
        <f t="shared" si="7"/>
        <v>0</v>
      </c>
      <c r="S21" s="70">
        <f>(M21+N21)*'Parâmetros'!$C$15+(O21+P21+Q21+R21)*'Parâmetros'!$C$16</f>
        <v>0</v>
      </c>
      <c r="T21" s="70">
        <f t="shared" si="8"/>
        <v>0</v>
      </c>
    </row>
    <row r="22" ht="15.75" customHeight="1">
      <c r="A22" s="64" t="s">
        <v>99</v>
      </c>
      <c r="B22" s="2"/>
      <c r="C22" s="2"/>
      <c r="D22" s="2"/>
      <c r="E22" s="2"/>
      <c r="F22" s="2"/>
      <c r="G22" s="2"/>
      <c r="H22" s="2"/>
      <c r="I22" s="2"/>
      <c r="J22" s="2"/>
      <c r="K22" s="3"/>
    </row>
    <row r="23" ht="15.75" customHeight="1">
      <c r="A23" s="65">
        <v>29.0</v>
      </c>
      <c r="B23" s="65" t="s">
        <v>100</v>
      </c>
      <c r="C23" s="66" t="s">
        <v>101</v>
      </c>
      <c r="D23" s="67">
        <v>46106.0</v>
      </c>
      <c r="E23" s="67">
        <v>46112.0</v>
      </c>
      <c r="F23" s="65">
        <v>6.0</v>
      </c>
      <c r="G23" s="65">
        <v>12.0</v>
      </c>
      <c r="H23" s="66" t="s">
        <v>102</v>
      </c>
      <c r="I23" s="68">
        <v>1.0</v>
      </c>
      <c r="J23" s="55" t="str">
        <f>IF(I23&gt;=1,"✅ Concluída",IF(I23&gt;0,"🔵 Em execução",IF(E23&lt;'Parâmetros'!$C$10,"🔴 Atrasada","⚪ Não iniciada")))</f>
        <v>✅ Concluída</v>
      </c>
      <c r="K23" s="33">
        <f t="shared" ref="K23:K41" si="9">G23*I23</f>
        <v>12</v>
      </c>
      <c r="L23" s="69">
        <f>IF(E23=D23,IF('Parâmetros'!$C$10&gt;=E23,G23,0),G23*MEDIAN(0,1,('Parâmetros'!$C$10-D23)/(E23-D23)))</f>
        <v>12</v>
      </c>
      <c r="M23" s="69">
        <f t="shared" ref="M23:M41" si="10">IF(ISNUMBER(SEARCH("GP",H23)),G23/(LEN(H23)-LEN(SUBSTITUTE(H23,"+",""))+1),0)</f>
        <v>6</v>
      </c>
      <c r="N23" s="69">
        <f t="shared" ref="N23:N41" si="11">IF(ISNUMBER(SEARCH("PM",H23)),G23/(LEN(H23)-LEN(SUBSTITUTE(H23,"+",""))+1),0)</f>
        <v>6</v>
      </c>
      <c r="O23" s="69">
        <f t="shared" ref="O23:O41" si="12">IF(ISNUMBER(SEARCH("Dev #1",H23)),G23/(LEN(H23)-LEN(SUBSTITUTE(H23,"+",""))+1),0)</f>
        <v>0</v>
      </c>
      <c r="P23" s="69">
        <f t="shared" ref="P23:P41" si="13">IF(ISNUMBER(SEARCH("Dev #2",H23)),G23/(LEN(H23)-LEN(SUBSTITUTE(H23,"+",""))+1),0)</f>
        <v>0</v>
      </c>
      <c r="Q23" s="69">
        <f t="shared" ref="Q23:Q41" si="14">IF(ISNUMBER(SEARCH("Dev #3",H23)),G23/(LEN(H23)-LEN(SUBSTITUTE(H23,"+",""))+1),0)</f>
        <v>0</v>
      </c>
      <c r="R23" s="69">
        <f t="shared" ref="R23:R41" si="15">IF(ISNUMBER(SEARCH("MKT",H23)),G23/(LEN(H23)-LEN(SUBSTITUTE(H23,"+",""))+1),0)</f>
        <v>0</v>
      </c>
      <c r="S23" s="70">
        <f>(M23+N23)*'Parâmetros'!$C$15+(O23+P23+Q23+R23)*'Parâmetros'!$C$16</f>
        <v>360</v>
      </c>
      <c r="T23" s="70">
        <f t="shared" ref="T23:T41" si="16">S23*I23</f>
        <v>360</v>
      </c>
    </row>
    <row r="24" ht="15.75" customHeight="1">
      <c r="A24" s="65">
        <v>30.0</v>
      </c>
      <c r="B24" s="65" t="s">
        <v>100</v>
      </c>
      <c r="C24" s="66" t="s">
        <v>103</v>
      </c>
      <c r="D24" s="67">
        <v>46113.0</v>
      </c>
      <c r="E24" s="67">
        <v>46114.0</v>
      </c>
      <c r="F24" s="65">
        <v>3.0</v>
      </c>
      <c r="G24" s="65">
        <v>6.0</v>
      </c>
      <c r="H24" s="66" t="s">
        <v>65</v>
      </c>
      <c r="I24" s="68">
        <v>1.0</v>
      </c>
      <c r="J24" s="55" t="str">
        <f>IF(I24&gt;=1,"✅ Concluída",IF(I24&gt;0,"🔵 Em execução",IF(E24&lt;'Parâmetros'!$C$10,"🔴 Atrasada","⚪ Não iniciada")))</f>
        <v>✅ Concluída</v>
      </c>
      <c r="K24" s="33">
        <f t="shared" si="9"/>
        <v>6</v>
      </c>
      <c r="L24" s="69">
        <f>IF(E24=D24,IF('Parâmetros'!$C$10&gt;=E24,G24,0),G24*MEDIAN(0,1,('Parâmetros'!$C$10-D24)/(E24-D24)))</f>
        <v>6</v>
      </c>
      <c r="M24" s="69">
        <f t="shared" si="10"/>
        <v>0</v>
      </c>
      <c r="N24" s="69">
        <f t="shared" si="11"/>
        <v>6</v>
      </c>
      <c r="O24" s="69">
        <f t="shared" si="12"/>
        <v>0</v>
      </c>
      <c r="P24" s="69">
        <f t="shared" si="13"/>
        <v>0</v>
      </c>
      <c r="Q24" s="69">
        <f t="shared" si="14"/>
        <v>0</v>
      </c>
      <c r="R24" s="69">
        <f t="shared" si="15"/>
        <v>0</v>
      </c>
      <c r="S24" s="70">
        <f>(M24+N24)*'Parâmetros'!$C$15+(O24+P24+Q24+R24)*'Parâmetros'!$C$16</f>
        <v>180</v>
      </c>
      <c r="T24" s="70">
        <f t="shared" si="16"/>
        <v>180</v>
      </c>
    </row>
    <row r="25" ht="15.75" customHeight="1">
      <c r="A25" s="65">
        <v>31.0</v>
      </c>
      <c r="B25" s="65" t="s">
        <v>100</v>
      </c>
      <c r="C25" s="66" t="s">
        <v>104</v>
      </c>
      <c r="D25" s="67">
        <v>46115.0</v>
      </c>
      <c r="E25" s="67">
        <v>46118.0</v>
      </c>
      <c r="F25" s="65">
        <v>3.0</v>
      </c>
      <c r="G25" s="65">
        <v>6.0</v>
      </c>
      <c r="H25" s="66" t="s">
        <v>102</v>
      </c>
      <c r="I25" s="68">
        <v>1.0</v>
      </c>
      <c r="J25" s="55" t="str">
        <f>IF(I25&gt;=1,"✅ Concluída",IF(I25&gt;0,"🔵 Em execução",IF(E25&lt;'Parâmetros'!$C$10,"🔴 Atrasada","⚪ Não iniciada")))</f>
        <v>✅ Concluída</v>
      </c>
      <c r="K25" s="33">
        <f t="shared" si="9"/>
        <v>6</v>
      </c>
      <c r="L25" s="69">
        <f>IF(E25=D25,IF('Parâmetros'!$C$10&gt;=E25,G25,0),G25*MEDIAN(0,1,('Parâmetros'!$C$10-D25)/(E25-D25)))</f>
        <v>6</v>
      </c>
      <c r="M25" s="69">
        <f t="shared" si="10"/>
        <v>3</v>
      </c>
      <c r="N25" s="69">
        <f t="shared" si="11"/>
        <v>3</v>
      </c>
      <c r="O25" s="69">
        <f t="shared" si="12"/>
        <v>0</v>
      </c>
      <c r="P25" s="69">
        <f t="shared" si="13"/>
        <v>0</v>
      </c>
      <c r="Q25" s="69">
        <f t="shared" si="14"/>
        <v>0</v>
      </c>
      <c r="R25" s="69">
        <f t="shared" si="15"/>
        <v>0</v>
      </c>
      <c r="S25" s="70">
        <f>(M25+N25)*'Parâmetros'!$C$15+(O25+P25+Q25+R25)*'Parâmetros'!$C$16</f>
        <v>180</v>
      </c>
      <c r="T25" s="70">
        <f t="shared" si="16"/>
        <v>180</v>
      </c>
    </row>
    <row r="26" ht="15.75" customHeight="1">
      <c r="A26" s="65">
        <v>33.0</v>
      </c>
      <c r="B26" s="65" t="s">
        <v>105</v>
      </c>
      <c r="C26" s="66" t="s">
        <v>106</v>
      </c>
      <c r="D26" s="67">
        <v>46119.0</v>
      </c>
      <c r="E26" s="67">
        <v>46119.0</v>
      </c>
      <c r="F26" s="65">
        <v>1.0</v>
      </c>
      <c r="G26" s="65">
        <v>8.0</v>
      </c>
      <c r="H26" s="66" t="s">
        <v>107</v>
      </c>
      <c r="I26" s="68">
        <v>1.0</v>
      </c>
      <c r="J26" s="55" t="str">
        <f>IF(I26&gt;=1,"✅ Concluída",IF(I26&gt;0,"🔵 Em execução",IF(E26&lt;'Parâmetros'!$C$10,"🔴 Atrasada","⚪ Não iniciada")))</f>
        <v>✅ Concluída</v>
      </c>
      <c r="K26" s="33">
        <f t="shared" si="9"/>
        <v>8</v>
      </c>
      <c r="L26" s="69">
        <f>IF(E26=D26,IF('Parâmetros'!$C$10&gt;=E26,G26,0),G26*MEDIAN(0,1,('Parâmetros'!$C$10-D26)/(E26-D26)))</f>
        <v>8</v>
      </c>
      <c r="M26" s="69">
        <f t="shared" si="10"/>
        <v>0</v>
      </c>
      <c r="N26" s="69">
        <f t="shared" si="11"/>
        <v>0</v>
      </c>
      <c r="O26" s="69">
        <f t="shared" si="12"/>
        <v>2.666666667</v>
      </c>
      <c r="P26" s="69">
        <f t="shared" si="13"/>
        <v>2.666666667</v>
      </c>
      <c r="Q26" s="69">
        <f t="shared" si="14"/>
        <v>2.666666667</v>
      </c>
      <c r="R26" s="69">
        <f t="shared" si="15"/>
        <v>0</v>
      </c>
      <c r="S26" s="70">
        <f>(M26+N26)*'Parâmetros'!$C$15+(O26+P26+Q26+R26)*'Parâmetros'!$C$16</f>
        <v>200</v>
      </c>
      <c r="T26" s="70">
        <f t="shared" si="16"/>
        <v>200</v>
      </c>
    </row>
    <row r="27" ht="15.75" customHeight="1">
      <c r="A27" s="65">
        <v>34.0</v>
      </c>
      <c r="B27" s="65" t="s">
        <v>105</v>
      </c>
      <c r="C27" s="66" t="s">
        <v>108</v>
      </c>
      <c r="D27" s="67">
        <v>46120.0</v>
      </c>
      <c r="E27" s="67">
        <v>46120.0</v>
      </c>
      <c r="F27" s="65">
        <v>1.0</v>
      </c>
      <c r="G27" s="65">
        <v>8.0</v>
      </c>
      <c r="H27" s="66" t="s">
        <v>107</v>
      </c>
      <c r="I27" s="68">
        <v>1.0</v>
      </c>
      <c r="J27" s="55" t="str">
        <f>IF(I27&gt;=1,"✅ Concluída",IF(I27&gt;0,"🔵 Em execução",IF(E27&lt;'Parâmetros'!$C$10,"🔴 Atrasada","⚪ Não iniciada")))</f>
        <v>✅ Concluída</v>
      </c>
      <c r="K27" s="33">
        <f t="shared" si="9"/>
        <v>8</v>
      </c>
      <c r="L27" s="69">
        <f>IF(E27=D27,IF('Parâmetros'!$C$10&gt;=E27,G27,0),G27*MEDIAN(0,1,('Parâmetros'!$C$10-D27)/(E27-D27)))</f>
        <v>8</v>
      </c>
      <c r="M27" s="69">
        <f t="shared" si="10"/>
        <v>0</v>
      </c>
      <c r="N27" s="69">
        <f t="shared" si="11"/>
        <v>0</v>
      </c>
      <c r="O27" s="69">
        <f t="shared" si="12"/>
        <v>2.666666667</v>
      </c>
      <c r="P27" s="69">
        <f t="shared" si="13"/>
        <v>2.666666667</v>
      </c>
      <c r="Q27" s="69">
        <f t="shared" si="14"/>
        <v>2.666666667</v>
      </c>
      <c r="R27" s="69">
        <f t="shared" si="15"/>
        <v>0</v>
      </c>
      <c r="S27" s="70">
        <f>(M27+N27)*'Parâmetros'!$C$15+(O27+P27+Q27+R27)*'Parâmetros'!$C$16</f>
        <v>200</v>
      </c>
      <c r="T27" s="70">
        <f t="shared" si="16"/>
        <v>200</v>
      </c>
    </row>
    <row r="28" ht="15.75" customHeight="1">
      <c r="A28" s="65">
        <v>35.0</v>
      </c>
      <c r="B28" s="65" t="s">
        <v>105</v>
      </c>
      <c r="C28" s="66" t="s">
        <v>109</v>
      </c>
      <c r="D28" s="67">
        <v>46121.0</v>
      </c>
      <c r="E28" s="67">
        <v>46121.0</v>
      </c>
      <c r="F28" s="65">
        <v>1.0</v>
      </c>
      <c r="G28" s="65">
        <v>8.0</v>
      </c>
      <c r="H28" s="66" t="s">
        <v>110</v>
      </c>
      <c r="I28" s="68">
        <v>1.0</v>
      </c>
      <c r="J28" s="55" t="str">
        <f>IF(I28&gt;=1,"✅ Concluída",IF(I28&gt;0,"🔵 Em execução",IF(E28&lt;'Parâmetros'!$C$10,"🔴 Atrasada","⚪ Não iniciada")))</f>
        <v>✅ Concluída</v>
      </c>
      <c r="K28" s="33">
        <f t="shared" si="9"/>
        <v>8</v>
      </c>
      <c r="L28" s="69">
        <f>IF(E28=D28,IF('Parâmetros'!$C$10&gt;=E28,G28,0),G28*MEDIAN(0,1,('Parâmetros'!$C$10-D28)/(E28-D28)))</f>
        <v>8</v>
      </c>
      <c r="M28" s="69">
        <f t="shared" si="10"/>
        <v>0</v>
      </c>
      <c r="N28" s="69">
        <f t="shared" si="11"/>
        <v>2</v>
      </c>
      <c r="O28" s="69">
        <f t="shared" si="12"/>
        <v>2</v>
      </c>
      <c r="P28" s="69">
        <f t="shared" si="13"/>
        <v>2</v>
      </c>
      <c r="Q28" s="69">
        <f t="shared" si="14"/>
        <v>2</v>
      </c>
      <c r="R28" s="69">
        <f t="shared" si="15"/>
        <v>0</v>
      </c>
      <c r="S28" s="70">
        <f>(M28+N28)*'Parâmetros'!$C$15+(O28+P28+Q28+R28)*'Parâmetros'!$C$16</f>
        <v>210</v>
      </c>
      <c r="T28" s="70">
        <f t="shared" si="16"/>
        <v>210</v>
      </c>
    </row>
    <row r="29" ht="15.75" customHeight="1">
      <c r="A29" s="65">
        <v>27.0</v>
      </c>
      <c r="B29" s="65" t="s">
        <v>105</v>
      </c>
      <c r="C29" s="66" t="s">
        <v>111</v>
      </c>
      <c r="D29" s="67">
        <v>46122.0</v>
      </c>
      <c r="E29" s="67">
        <v>46122.0</v>
      </c>
      <c r="F29" s="65">
        <v>1.0</v>
      </c>
      <c r="G29" s="65">
        <v>4.0</v>
      </c>
      <c r="H29" s="66" t="s">
        <v>80</v>
      </c>
      <c r="I29" s="71">
        <v>1.0</v>
      </c>
      <c r="J29" s="55" t="str">
        <f>IF(I29&gt;=1,"✅ Concluída",IF(I29&gt;0,"🔵 Em execução",IF(E29&lt;'Parâmetros'!$C$10,"🔴 Atrasada","⚪ Não iniciada")))</f>
        <v>✅ Concluída</v>
      </c>
      <c r="K29" s="33">
        <f t="shared" si="9"/>
        <v>4</v>
      </c>
      <c r="L29" s="69">
        <f>IF(E29=D29,IF('Parâmetros'!$C$10&gt;=E29,G29,0),G29*MEDIAN(0,1,('Parâmetros'!$C$10-D29)/(E29-D29)))</f>
        <v>4</v>
      </c>
      <c r="M29" s="69">
        <f t="shared" si="10"/>
        <v>2</v>
      </c>
      <c r="N29" s="69">
        <f t="shared" si="11"/>
        <v>2</v>
      </c>
      <c r="O29" s="69">
        <f t="shared" si="12"/>
        <v>0</v>
      </c>
      <c r="P29" s="69">
        <f t="shared" si="13"/>
        <v>0</v>
      </c>
      <c r="Q29" s="69">
        <f t="shared" si="14"/>
        <v>0</v>
      </c>
      <c r="R29" s="69">
        <f t="shared" si="15"/>
        <v>0</v>
      </c>
      <c r="S29" s="70">
        <f>(M29+N29)*'Parâmetros'!$C$15+(O29+P29+Q29+R29)*'Parâmetros'!$C$16</f>
        <v>120</v>
      </c>
      <c r="T29" s="70">
        <f t="shared" si="16"/>
        <v>120</v>
      </c>
    </row>
    <row r="30" ht="15.75" customHeight="1">
      <c r="A30" s="65">
        <v>28.0</v>
      </c>
      <c r="B30" s="65" t="s">
        <v>105</v>
      </c>
      <c r="C30" s="66" t="s">
        <v>112</v>
      </c>
      <c r="D30" s="67">
        <v>46125.0</v>
      </c>
      <c r="E30" s="67">
        <v>46125.0</v>
      </c>
      <c r="F30" s="65">
        <v>1.0</v>
      </c>
      <c r="G30" s="65">
        <v>4.0</v>
      </c>
      <c r="H30" s="66" t="s">
        <v>66</v>
      </c>
      <c r="I30" s="71">
        <v>1.0</v>
      </c>
      <c r="J30" s="55" t="str">
        <f>IF(I30&gt;=1,"✅ Concluída",IF(I30&gt;0,"🔵 Em execução",IF(E30&lt;'Parâmetros'!$C$10,"🔴 Atrasada","⚪ Não iniciada")))</f>
        <v>✅ Concluída</v>
      </c>
      <c r="K30" s="33">
        <f t="shared" si="9"/>
        <v>4</v>
      </c>
      <c r="L30" s="69">
        <f>IF(E30=D30,IF('Parâmetros'!$C$10&gt;=E30,G30,0),G30*MEDIAN(0,1,('Parâmetros'!$C$10-D30)/(E30-D30)))</f>
        <v>4</v>
      </c>
      <c r="M30" s="69">
        <f t="shared" si="10"/>
        <v>0</v>
      </c>
      <c r="N30" s="69">
        <f t="shared" si="11"/>
        <v>0</v>
      </c>
      <c r="O30" s="69">
        <f t="shared" si="12"/>
        <v>4</v>
      </c>
      <c r="P30" s="69">
        <f t="shared" si="13"/>
        <v>0</v>
      </c>
      <c r="Q30" s="69">
        <f t="shared" si="14"/>
        <v>0</v>
      </c>
      <c r="R30" s="69">
        <f t="shared" si="15"/>
        <v>0</v>
      </c>
      <c r="S30" s="70">
        <f>(M30+N30)*'Parâmetros'!$C$15+(O30+P30+Q30+R30)*'Parâmetros'!$C$16</f>
        <v>100</v>
      </c>
      <c r="T30" s="70">
        <f t="shared" si="16"/>
        <v>100</v>
      </c>
    </row>
    <row r="31" ht="15.75" customHeight="1">
      <c r="A31" s="65">
        <v>32.0</v>
      </c>
      <c r="B31" s="65" t="s">
        <v>105</v>
      </c>
      <c r="C31" s="66" t="s">
        <v>113</v>
      </c>
      <c r="D31" s="67">
        <v>46126.0</v>
      </c>
      <c r="E31" s="67">
        <v>46126.0</v>
      </c>
      <c r="F31" s="65">
        <v>1.0</v>
      </c>
      <c r="G31" s="65">
        <v>2.0</v>
      </c>
      <c r="H31" s="66" t="s">
        <v>43</v>
      </c>
      <c r="I31" s="71">
        <v>1.0</v>
      </c>
      <c r="J31" s="55" t="str">
        <f>IF(I31&gt;=1,"✅ Concluída",IF(I31&gt;0,"🔵 Em execução",IF(E31&lt;'Parâmetros'!$C$10,"🔴 Atrasada","⚪ Não iniciada")))</f>
        <v>✅ Concluída</v>
      </c>
      <c r="K31" s="33">
        <f t="shared" si="9"/>
        <v>2</v>
      </c>
      <c r="L31" s="69">
        <f>IF(E31=D31,IF('Parâmetros'!$C$10&gt;=E31,G31,0),G31*MEDIAN(0,1,('Parâmetros'!$C$10-D31)/(E31-D31)))</f>
        <v>2</v>
      </c>
      <c r="M31" s="69">
        <f t="shared" si="10"/>
        <v>2</v>
      </c>
      <c r="N31" s="69">
        <f t="shared" si="11"/>
        <v>0</v>
      </c>
      <c r="O31" s="69">
        <f t="shared" si="12"/>
        <v>0</v>
      </c>
      <c r="P31" s="69">
        <f t="shared" si="13"/>
        <v>0</v>
      </c>
      <c r="Q31" s="69">
        <f t="shared" si="14"/>
        <v>0</v>
      </c>
      <c r="R31" s="69">
        <f t="shared" si="15"/>
        <v>0</v>
      </c>
      <c r="S31" s="70">
        <f>(M31+N31)*'Parâmetros'!$C$15+(O31+P31+Q31+R31)*'Parâmetros'!$C$16</f>
        <v>60</v>
      </c>
      <c r="T31" s="70">
        <f t="shared" si="16"/>
        <v>60</v>
      </c>
    </row>
    <row r="32" ht="15.75" customHeight="1">
      <c r="A32" s="65">
        <v>36.0</v>
      </c>
      <c r="B32" s="65" t="s">
        <v>105</v>
      </c>
      <c r="C32" s="66" t="s">
        <v>114</v>
      </c>
      <c r="D32" s="67">
        <v>46126.0</v>
      </c>
      <c r="E32" s="67">
        <v>46127.0</v>
      </c>
      <c r="F32" s="65">
        <v>2.0</v>
      </c>
      <c r="G32" s="65">
        <v>6.0</v>
      </c>
      <c r="H32" s="66" t="s">
        <v>66</v>
      </c>
      <c r="I32" s="71">
        <v>1.0</v>
      </c>
      <c r="J32" s="55" t="str">
        <f>IF(I32&gt;=1,"✅ Concluída",IF(I32&gt;0,"🔵 Em execução",IF(E32&lt;'Parâmetros'!$C$10,"🔴 Atrasada","⚪ Não iniciada")))</f>
        <v>✅ Concluída</v>
      </c>
      <c r="K32" s="33">
        <f t="shared" si="9"/>
        <v>6</v>
      </c>
      <c r="L32" s="69">
        <f>IF(E32=D32,IF('Parâmetros'!$C$10&gt;=E32,G32,0),G32*MEDIAN(0,1,('Parâmetros'!$C$10-D32)/(E32-D32)))</f>
        <v>6</v>
      </c>
      <c r="M32" s="69">
        <f t="shared" si="10"/>
        <v>0</v>
      </c>
      <c r="N32" s="69">
        <f t="shared" si="11"/>
        <v>0</v>
      </c>
      <c r="O32" s="69">
        <f t="shared" si="12"/>
        <v>6</v>
      </c>
      <c r="P32" s="69">
        <f t="shared" si="13"/>
        <v>0</v>
      </c>
      <c r="Q32" s="69">
        <f t="shared" si="14"/>
        <v>0</v>
      </c>
      <c r="R32" s="69">
        <f t="shared" si="15"/>
        <v>0</v>
      </c>
      <c r="S32" s="70">
        <f>(M32+N32)*'Parâmetros'!$C$15+(O32+P32+Q32+R32)*'Parâmetros'!$C$16</f>
        <v>150</v>
      </c>
      <c r="T32" s="70">
        <f t="shared" si="16"/>
        <v>150</v>
      </c>
    </row>
    <row r="33" ht="15.75" customHeight="1">
      <c r="A33" s="65">
        <v>40.0</v>
      </c>
      <c r="B33" s="65" t="s">
        <v>105</v>
      </c>
      <c r="C33" s="66" t="s">
        <v>115</v>
      </c>
      <c r="D33" s="67">
        <v>46127.0</v>
      </c>
      <c r="E33" s="67">
        <v>46128.0</v>
      </c>
      <c r="F33" s="65">
        <v>2.0</v>
      </c>
      <c r="G33" s="65">
        <v>4.0</v>
      </c>
      <c r="H33" s="66" t="s">
        <v>67</v>
      </c>
      <c r="I33" s="71">
        <v>1.0</v>
      </c>
      <c r="J33" s="55" t="str">
        <f>IF(I33&gt;=1,"✅ Concluída",IF(I33&gt;0,"🔵 Em execução",IF(E33&lt;'Parâmetros'!$C$10,"🔴 Atrasada","⚪ Não iniciada")))</f>
        <v>✅ Concluída</v>
      </c>
      <c r="K33" s="33">
        <f t="shared" si="9"/>
        <v>4</v>
      </c>
      <c r="L33" s="69">
        <f>IF(E33=D33,IF('Parâmetros'!$C$10&gt;=E33,G33,0),G33*MEDIAN(0,1,('Parâmetros'!$C$10-D33)/(E33-D33)))</f>
        <v>4</v>
      </c>
      <c r="M33" s="69">
        <f t="shared" si="10"/>
        <v>0</v>
      </c>
      <c r="N33" s="69">
        <f t="shared" si="11"/>
        <v>0</v>
      </c>
      <c r="O33" s="69">
        <f t="shared" si="12"/>
        <v>0</v>
      </c>
      <c r="P33" s="69">
        <f t="shared" si="13"/>
        <v>4</v>
      </c>
      <c r="Q33" s="69">
        <f t="shared" si="14"/>
        <v>0</v>
      </c>
      <c r="R33" s="69">
        <f t="shared" si="15"/>
        <v>0</v>
      </c>
      <c r="S33" s="70">
        <f>(M33+N33)*'Parâmetros'!$C$15+(O33+P33+Q33+R33)*'Parâmetros'!$C$16</f>
        <v>100</v>
      </c>
      <c r="T33" s="70">
        <f t="shared" si="16"/>
        <v>100</v>
      </c>
    </row>
    <row r="34" ht="15.75" customHeight="1">
      <c r="A34" s="65">
        <v>44.0</v>
      </c>
      <c r="B34" s="65" t="s">
        <v>105</v>
      </c>
      <c r="C34" s="66" t="s">
        <v>116</v>
      </c>
      <c r="D34" s="67">
        <v>46128.0</v>
      </c>
      <c r="E34" s="67">
        <v>46128.0</v>
      </c>
      <c r="F34" s="65">
        <v>1.0</v>
      </c>
      <c r="G34" s="65">
        <v>4.0</v>
      </c>
      <c r="H34" s="66" t="s">
        <v>66</v>
      </c>
      <c r="I34" s="71">
        <v>1.0</v>
      </c>
      <c r="J34" s="55" t="str">
        <f>IF(I34&gt;=1,"✅ Concluída",IF(I34&gt;0,"🔵 Em execução",IF(E34&lt;'Parâmetros'!$C$10,"🔴 Atrasada","⚪ Não iniciada")))</f>
        <v>✅ Concluída</v>
      </c>
      <c r="K34" s="33">
        <f t="shared" si="9"/>
        <v>4</v>
      </c>
      <c r="L34" s="69">
        <f>IF(E34=D34,IF('Parâmetros'!$C$10&gt;=E34,G34,0),G34*MEDIAN(0,1,('Parâmetros'!$C$10-D34)/(E34-D34)))</f>
        <v>4</v>
      </c>
      <c r="M34" s="69">
        <f t="shared" si="10"/>
        <v>0</v>
      </c>
      <c r="N34" s="69">
        <f t="shared" si="11"/>
        <v>0</v>
      </c>
      <c r="O34" s="69">
        <f t="shared" si="12"/>
        <v>4</v>
      </c>
      <c r="P34" s="69">
        <f t="shared" si="13"/>
        <v>0</v>
      </c>
      <c r="Q34" s="69">
        <f t="shared" si="14"/>
        <v>0</v>
      </c>
      <c r="R34" s="69">
        <f t="shared" si="15"/>
        <v>0</v>
      </c>
      <c r="S34" s="70">
        <f>(M34+N34)*'Parâmetros'!$C$15+(O34+P34+Q34+R34)*'Parâmetros'!$C$16</f>
        <v>100</v>
      </c>
      <c r="T34" s="70">
        <f t="shared" si="16"/>
        <v>100</v>
      </c>
    </row>
    <row r="35" ht="15.75" customHeight="1">
      <c r="A35" s="65">
        <v>37.0</v>
      </c>
      <c r="B35" s="65" t="s">
        <v>117</v>
      </c>
      <c r="C35" s="66" t="s">
        <v>118</v>
      </c>
      <c r="D35" s="67">
        <v>46122.0</v>
      </c>
      <c r="E35" s="67">
        <v>46122.0</v>
      </c>
      <c r="F35" s="65">
        <v>2.0</v>
      </c>
      <c r="G35" s="65">
        <v>12.0</v>
      </c>
      <c r="H35" s="66" t="s">
        <v>66</v>
      </c>
      <c r="I35" s="68">
        <v>1.0</v>
      </c>
      <c r="J35" s="55" t="str">
        <f>IF(I35&gt;=1,"✅ Concluída",IF(I35&gt;0,"🔵 Em execução",IF(E35&lt;'Parâmetros'!$C$10,"🔴 Atrasada","⚪ Não iniciada")))</f>
        <v>✅ Concluída</v>
      </c>
      <c r="K35" s="33">
        <f t="shared" si="9"/>
        <v>12</v>
      </c>
      <c r="L35" s="69">
        <f>IF(E35=D35,IF('Parâmetros'!$C$10&gt;=E35,G35,0),G35*MEDIAN(0,1,('Parâmetros'!$C$10-D35)/(E35-D35)))</f>
        <v>12</v>
      </c>
      <c r="M35" s="69">
        <f t="shared" si="10"/>
        <v>0</v>
      </c>
      <c r="N35" s="69">
        <f t="shared" si="11"/>
        <v>0</v>
      </c>
      <c r="O35" s="69">
        <f t="shared" si="12"/>
        <v>12</v>
      </c>
      <c r="P35" s="69">
        <f t="shared" si="13"/>
        <v>0</v>
      </c>
      <c r="Q35" s="69">
        <f t="shared" si="14"/>
        <v>0</v>
      </c>
      <c r="R35" s="69">
        <f t="shared" si="15"/>
        <v>0</v>
      </c>
      <c r="S35" s="70">
        <f>(M35+N35)*'Parâmetros'!$C$15+(O35+P35+Q35+R35)*'Parâmetros'!$C$16</f>
        <v>300</v>
      </c>
      <c r="T35" s="70">
        <f t="shared" si="16"/>
        <v>300</v>
      </c>
    </row>
    <row r="36" ht="15.75" customHeight="1">
      <c r="A36" s="65">
        <v>38.0</v>
      </c>
      <c r="B36" s="65" t="s">
        <v>117</v>
      </c>
      <c r="C36" s="66" t="s">
        <v>119</v>
      </c>
      <c r="D36" s="67">
        <v>46125.0</v>
      </c>
      <c r="E36" s="67">
        <v>46125.0</v>
      </c>
      <c r="F36" s="65">
        <v>1.0</v>
      </c>
      <c r="G36" s="65">
        <v>8.0</v>
      </c>
      <c r="H36" s="66" t="s">
        <v>66</v>
      </c>
      <c r="I36" s="68">
        <v>1.0</v>
      </c>
      <c r="J36" s="55" t="str">
        <f>IF(I36&gt;=1,"✅ Concluída",IF(I36&gt;0,"🔵 Em execução",IF(E36&lt;'Parâmetros'!$C$10,"🔴 Atrasada","⚪ Não iniciada")))</f>
        <v>✅ Concluída</v>
      </c>
      <c r="K36" s="33">
        <f t="shared" si="9"/>
        <v>8</v>
      </c>
      <c r="L36" s="69">
        <f>IF(E36=D36,IF('Parâmetros'!$C$10&gt;=E36,G36,0),G36*MEDIAN(0,1,('Parâmetros'!$C$10-D36)/(E36-D36)))</f>
        <v>8</v>
      </c>
      <c r="M36" s="69">
        <f t="shared" si="10"/>
        <v>0</v>
      </c>
      <c r="N36" s="69">
        <f t="shared" si="11"/>
        <v>0</v>
      </c>
      <c r="O36" s="69">
        <f t="shared" si="12"/>
        <v>8</v>
      </c>
      <c r="P36" s="69">
        <f t="shared" si="13"/>
        <v>0</v>
      </c>
      <c r="Q36" s="69">
        <f t="shared" si="14"/>
        <v>0</v>
      </c>
      <c r="R36" s="69">
        <f t="shared" si="15"/>
        <v>0</v>
      </c>
      <c r="S36" s="70">
        <f>(M36+N36)*'Parâmetros'!$C$15+(O36+P36+Q36+R36)*'Parâmetros'!$C$16</f>
        <v>200</v>
      </c>
      <c r="T36" s="70">
        <f t="shared" si="16"/>
        <v>200</v>
      </c>
    </row>
    <row r="37" ht="15.75" customHeight="1">
      <c r="A37" s="65">
        <v>41.0</v>
      </c>
      <c r="B37" s="65" t="s">
        <v>120</v>
      </c>
      <c r="C37" s="66" t="s">
        <v>121</v>
      </c>
      <c r="D37" s="67">
        <v>46126.0</v>
      </c>
      <c r="E37" s="67">
        <v>46126.0</v>
      </c>
      <c r="F37" s="65">
        <v>1.0</v>
      </c>
      <c r="G37" s="65">
        <v>8.0</v>
      </c>
      <c r="H37" s="66" t="s">
        <v>107</v>
      </c>
      <c r="I37" s="68">
        <v>1.0</v>
      </c>
      <c r="J37" s="55" t="str">
        <f>IF(I37&gt;=1,"✅ Concluída",IF(I37&gt;0,"🔵 Em execução",IF(E37&lt;'Parâmetros'!$C$10,"🔴 Atrasada","⚪ Não iniciada")))</f>
        <v>✅ Concluída</v>
      </c>
      <c r="K37" s="33">
        <f t="shared" si="9"/>
        <v>8</v>
      </c>
      <c r="L37" s="69">
        <f>IF(E37=D37,IF('Parâmetros'!$C$10&gt;=E37,G37,0),G37*MEDIAN(0,1,('Parâmetros'!$C$10-D37)/(E37-D37)))</f>
        <v>8</v>
      </c>
      <c r="M37" s="69">
        <f t="shared" si="10"/>
        <v>0</v>
      </c>
      <c r="N37" s="69">
        <f t="shared" si="11"/>
        <v>0</v>
      </c>
      <c r="O37" s="69">
        <f t="shared" si="12"/>
        <v>2.666666667</v>
      </c>
      <c r="P37" s="69">
        <f t="shared" si="13"/>
        <v>2.666666667</v>
      </c>
      <c r="Q37" s="69">
        <f t="shared" si="14"/>
        <v>2.666666667</v>
      </c>
      <c r="R37" s="69">
        <f t="shared" si="15"/>
        <v>0</v>
      </c>
      <c r="S37" s="70">
        <f>(M37+N37)*'Parâmetros'!$C$15+(O37+P37+Q37+R37)*'Parâmetros'!$C$16</f>
        <v>200</v>
      </c>
      <c r="T37" s="70">
        <f t="shared" si="16"/>
        <v>200</v>
      </c>
    </row>
    <row r="38" ht="15.75" customHeight="1">
      <c r="A38" s="65">
        <v>42.0</v>
      </c>
      <c r="B38" s="65" t="s">
        <v>120</v>
      </c>
      <c r="C38" s="66" t="s">
        <v>122</v>
      </c>
      <c r="D38" s="67">
        <v>46127.0</v>
      </c>
      <c r="E38" s="67">
        <v>46127.0</v>
      </c>
      <c r="F38" s="65">
        <v>1.0</v>
      </c>
      <c r="G38" s="65">
        <v>4.0</v>
      </c>
      <c r="H38" s="66" t="s">
        <v>66</v>
      </c>
      <c r="I38" s="68">
        <v>1.0</v>
      </c>
      <c r="J38" s="55" t="str">
        <f>IF(I38&gt;=1,"✅ Concluída",IF(I38&gt;0,"🔵 Em execução",IF(E38&lt;'Parâmetros'!$C$10,"🔴 Atrasada","⚪ Não iniciada")))</f>
        <v>✅ Concluída</v>
      </c>
      <c r="K38" s="33">
        <f t="shared" si="9"/>
        <v>4</v>
      </c>
      <c r="L38" s="69">
        <f>IF(E38=D38,IF('Parâmetros'!$C$10&gt;=E38,G38,0),G38*MEDIAN(0,1,('Parâmetros'!$C$10-D38)/(E38-D38)))</f>
        <v>4</v>
      </c>
      <c r="M38" s="69">
        <f t="shared" si="10"/>
        <v>0</v>
      </c>
      <c r="N38" s="69">
        <f t="shared" si="11"/>
        <v>0</v>
      </c>
      <c r="O38" s="69">
        <f t="shared" si="12"/>
        <v>4</v>
      </c>
      <c r="P38" s="69">
        <f t="shared" si="13"/>
        <v>0</v>
      </c>
      <c r="Q38" s="69">
        <f t="shared" si="14"/>
        <v>0</v>
      </c>
      <c r="R38" s="69">
        <f t="shared" si="15"/>
        <v>0</v>
      </c>
      <c r="S38" s="70">
        <f>(M38+N38)*'Parâmetros'!$C$15+(O38+P38+Q38+R38)*'Parâmetros'!$C$16</f>
        <v>100</v>
      </c>
      <c r="T38" s="70">
        <f t="shared" si="16"/>
        <v>100</v>
      </c>
    </row>
    <row r="39" ht="15.75" customHeight="1">
      <c r="A39" s="65">
        <v>43.0</v>
      </c>
      <c r="B39" s="65" t="s">
        <v>120</v>
      </c>
      <c r="C39" s="66" t="s">
        <v>123</v>
      </c>
      <c r="D39" s="67">
        <v>46127.0</v>
      </c>
      <c r="E39" s="67">
        <v>46127.0</v>
      </c>
      <c r="F39" s="65">
        <v>1.0</v>
      </c>
      <c r="G39" s="65">
        <v>4.0</v>
      </c>
      <c r="H39" s="66" t="s">
        <v>124</v>
      </c>
      <c r="I39" s="68">
        <v>1.0</v>
      </c>
      <c r="J39" s="55" t="str">
        <f>IF(I39&gt;=1,"✅ Concluída",IF(I39&gt;0,"🔵 Em execução",IF(E39&lt;'Parâmetros'!$C$10,"🔴 Atrasada","⚪ Não iniciada")))</f>
        <v>✅ Concluída</v>
      </c>
      <c r="K39" s="33">
        <f t="shared" si="9"/>
        <v>4</v>
      </c>
      <c r="L39" s="69">
        <f>IF(E39=D39,IF('Parâmetros'!$C$10&gt;=E39,G39,0),G39*MEDIAN(0,1,('Parâmetros'!$C$10-D39)/(E39-D39)))</f>
        <v>4</v>
      </c>
      <c r="M39" s="69">
        <f t="shared" si="10"/>
        <v>0</v>
      </c>
      <c r="N39" s="69">
        <f t="shared" si="11"/>
        <v>2</v>
      </c>
      <c r="O39" s="69">
        <f t="shared" si="12"/>
        <v>0</v>
      </c>
      <c r="P39" s="69">
        <f t="shared" si="13"/>
        <v>0</v>
      </c>
      <c r="Q39" s="69">
        <f t="shared" si="14"/>
        <v>2</v>
      </c>
      <c r="R39" s="69">
        <f t="shared" si="15"/>
        <v>0</v>
      </c>
      <c r="S39" s="70">
        <f>(M39+N39)*'Parâmetros'!$C$15+(O39+P39+Q39+R39)*'Parâmetros'!$C$16</f>
        <v>110</v>
      </c>
      <c r="T39" s="70">
        <f t="shared" si="16"/>
        <v>110</v>
      </c>
    </row>
    <row r="40" ht="15.75" customHeight="1">
      <c r="A40" s="65">
        <v>45.0</v>
      </c>
      <c r="B40" s="65" t="s">
        <v>125</v>
      </c>
      <c r="C40" s="66" t="s">
        <v>126</v>
      </c>
      <c r="D40" s="67">
        <v>46128.0</v>
      </c>
      <c r="E40" s="67">
        <v>46128.0</v>
      </c>
      <c r="F40" s="65">
        <v>1.0</v>
      </c>
      <c r="G40" s="65">
        <v>2.0</v>
      </c>
      <c r="H40" s="66" t="s">
        <v>80</v>
      </c>
      <c r="I40" s="68">
        <v>1.0</v>
      </c>
      <c r="J40" s="55" t="str">
        <f>IF(I40&gt;=1,"✅ Concluída",IF(I40&gt;0,"🔵 Em execução",IF(E40&lt;'Parâmetros'!$C$10,"🔴 Atrasada","⚪ Não iniciada")))</f>
        <v>✅ Concluída</v>
      </c>
      <c r="K40" s="33">
        <f t="shared" si="9"/>
        <v>2</v>
      </c>
      <c r="L40" s="69">
        <f>IF(E40=D40,IF('Parâmetros'!$C$10&gt;=E40,G40,0),G40*MEDIAN(0,1,('Parâmetros'!$C$10-D40)/(E40-D40)))</f>
        <v>2</v>
      </c>
      <c r="M40" s="69">
        <f t="shared" si="10"/>
        <v>1</v>
      </c>
      <c r="N40" s="69">
        <f t="shared" si="11"/>
        <v>1</v>
      </c>
      <c r="O40" s="69">
        <f t="shared" si="12"/>
        <v>0</v>
      </c>
      <c r="P40" s="69">
        <f t="shared" si="13"/>
        <v>0</v>
      </c>
      <c r="Q40" s="69">
        <f t="shared" si="14"/>
        <v>0</v>
      </c>
      <c r="R40" s="69">
        <f t="shared" si="15"/>
        <v>0</v>
      </c>
      <c r="S40" s="70">
        <f>(M40+N40)*'Parâmetros'!$C$15+(O40+P40+Q40+R40)*'Parâmetros'!$C$16</f>
        <v>60</v>
      </c>
      <c r="T40" s="70">
        <f t="shared" si="16"/>
        <v>60</v>
      </c>
    </row>
    <row r="41" ht="15.75" customHeight="1">
      <c r="A41" s="65">
        <v>46.0</v>
      </c>
      <c r="B41" s="65" t="s">
        <v>125</v>
      </c>
      <c r="C41" s="66" t="s">
        <v>127</v>
      </c>
      <c r="D41" s="67">
        <v>46129.0</v>
      </c>
      <c r="E41" s="67">
        <v>46129.0</v>
      </c>
      <c r="F41" s="65">
        <v>1.0</v>
      </c>
      <c r="G41" s="65">
        <v>2.0</v>
      </c>
      <c r="H41" s="66" t="s">
        <v>43</v>
      </c>
      <c r="I41" s="68">
        <v>1.0</v>
      </c>
      <c r="J41" s="55" t="str">
        <f>IF(I41&gt;=1,"✅ Concluída",IF(I41&gt;0,"🔵 Em execução",IF(E41&lt;'Parâmetros'!$C$10,"🔴 Atrasada","⚪ Não iniciada")))</f>
        <v>✅ Concluída</v>
      </c>
      <c r="K41" s="33">
        <f t="shared" si="9"/>
        <v>2</v>
      </c>
      <c r="L41" s="69">
        <f>IF(E41=D41,IF('Parâmetros'!$C$10&gt;=E41,G41,0),G41*MEDIAN(0,1,('Parâmetros'!$C$10-D41)/(E41-D41)))</f>
        <v>2</v>
      </c>
      <c r="M41" s="69">
        <f t="shared" si="10"/>
        <v>2</v>
      </c>
      <c r="N41" s="69">
        <f t="shared" si="11"/>
        <v>0</v>
      </c>
      <c r="O41" s="69">
        <f t="shared" si="12"/>
        <v>0</v>
      </c>
      <c r="P41" s="69">
        <f t="shared" si="13"/>
        <v>0</v>
      </c>
      <c r="Q41" s="69">
        <f t="shared" si="14"/>
        <v>0</v>
      </c>
      <c r="R41" s="69">
        <f t="shared" si="15"/>
        <v>0</v>
      </c>
      <c r="S41" s="70">
        <f>(M41+N41)*'Parâmetros'!$C$15+(O41+P41+Q41+R41)*'Parâmetros'!$C$16</f>
        <v>60</v>
      </c>
      <c r="T41" s="70">
        <f t="shared" si="16"/>
        <v>60</v>
      </c>
    </row>
    <row r="42" ht="15.75" customHeight="1">
      <c r="A42" s="64" t="s">
        <v>128</v>
      </c>
      <c r="B42" s="2"/>
      <c r="C42" s="2"/>
      <c r="D42" s="2"/>
      <c r="E42" s="2"/>
      <c r="F42" s="2"/>
      <c r="G42" s="2"/>
      <c r="H42" s="2"/>
      <c r="I42" s="2"/>
      <c r="J42" s="2"/>
      <c r="K42" s="3"/>
    </row>
    <row r="43" ht="15.75" customHeight="1">
      <c r="A43" s="65">
        <v>49.0</v>
      </c>
      <c r="B43" s="65" t="s">
        <v>129</v>
      </c>
      <c r="C43" s="66" t="s">
        <v>130</v>
      </c>
      <c r="D43" s="67">
        <v>46134.0</v>
      </c>
      <c r="E43" s="67">
        <v>46135.0</v>
      </c>
      <c r="F43" s="65">
        <v>3.0</v>
      </c>
      <c r="G43" s="65">
        <v>24.0</v>
      </c>
      <c r="H43" s="66" t="s">
        <v>66</v>
      </c>
      <c r="I43" s="68">
        <v>1.0</v>
      </c>
      <c r="J43" s="55" t="str">
        <f>IF(I43&gt;=1,"✅ Concluída",IF(I43&gt;0,"🔵 Em execução",IF(E43&lt;'Parâmetros'!$C$10,"🔴 Atrasada","⚪ Não iniciada")))</f>
        <v>✅ Concluída</v>
      </c>
      <c r="K43" s="33">
        <f t="shared" ref="K43:K69" si="17">G43*I43</f>
        <v>24</v>
      </c>
      <c r="L43" s="69">
        <f>IF(E43=D43,IF('Parâmetros'!$C$10&gt;=E43,G43,0),G43*MEDIAN(0,1,('Parâmetros'!$C$10-D43)/(E43-D43)))</f>
        <v>24</v>
      </c>
      <c r="M43" s="69">
        <f t="shared" ref="M43:M66" si="18">IF(ISNUMBER(SEARCH("GP",H43)),G43/(LEN(H43)-LEN(SUBSTITUTE(H43,"+",""))+1),0)</f>
        <v>0</v>
      </c>
      <c r="N43" s="69">
        <f t="shared" ref="N43:N66" si="19">IF(ISNUMBER(SEARCH("PM",H43)),G43/(LEN(H43)-LEN(SUBSTITUTE(H43,"+",""))+1),0)</f>
        <v>0</v>
      </c>
      <c r="O43" s="69">
        <f t="shared" ref="O43:O66" si="20">IF(ISNUMBER(SEARCH("Dev #1",H43)),G43/(LEN(H43)-LEN(SUBSTITUTE(H43,"+",""))+1),0)</f>
        <v>24</v>
      </c>
      <c r="P43" s="69">
        <f t="shared" ref="P43:P66" si="21">IF(ISNUMBER(SEARCH("Dev #2",H43)),G43/(LEN(H43)-LEN(SUBSTITUTE(H43,"+",""))+1),0)</f>
        <v>0</v>
      </c>
      <c r="Q43" s="69">
        <f t="shared" ref="Q43:Q66" si="22">IF(ISNUMBER(SEARCH("Dev #3",H43)),G43/(LEN(H43)-LEN(SUBSTITUTE(H43,"+",""))+1),0)</f>
        <v>0</v>
      </c>
      <c r="R43" s="69">
        <f t="shared" ref="R43:R66" si="23">IF(ISNUMBER(SEARCH("MKT",H43)),G43/(LEN(H43)-LEN(SUBSTITUTE(H43,"+",""))+1),0)</f>
        <v>0</v>
      </c>
      <c r="S43" s="70">
        <f>(M43+N43)*'Parâmetros'!$C$15+(O43+P43+Q43+R43)*'Parâmetros'!$C$16</f>
        <v>600</v>
      </c>
      <c r="T43" s="70">
        <f t="shared" ref="T43:T69" si="24">S43*I43</f>
        <v>600</v>
      </c>
    </row>
    <row r="44" ht="15.75" customHeight="1">
      <c r="A44" s="65">
        <v>50.0</v>
      </c>
      <c r="B44" s="65" t="s">
        <v>129</v>
      </c>
      <c r="C44" s="66" t="s">
        <v>131</v>
      </c>
      <c r="D44" s="67">
        <v>46136.0</v>
      </c>
      <c r="E44" s="67">
        <v>46136.0</v>
      </c>
      <c r="F44" s="65">
        <v>2.0</v>
      </c>
      <c r="G44" s="65">
        <v>20.0</v>
      </c>
      <c r="H44" s="66" t="s">
        <v>66</v>
      </c>
      <c r="I44" s="68">
        <v>1.0</v>
      </c>
      <c r="J44" s="55" t="str">
        <f>IF(I44&gt;=1,"✅ Concluída",IF(I44&gt;0,"🔵 Em execução",IF(E44&lt;'Parâmetros'!$C$10,"🔴 Atrasada","⚪ Não iniciada")))</f>
        <v>✅ Concluída</v>
      </c>
      <c r="K44" s="33">
        <f t="shared" si="17"/>
        <v>20</v>
      </c>
      <c r="L44" s="69">
        <f>IF(E44=D44,IF('Parâmetros'!$C$10&gt;=E44,G44,0),G44*MEDIAN(0,1,('Parâmetros'!$C$10-D44)/(E44-D44)))</f>
        <v>20</v>
      </c>
      <c r="M44" s="69">
        <f t="shared" si="18"/>
        <v>0</v>
      </c>
      <c r="N44" s="69">
        <f t="shared" si="19"/>
        <v>0</v>
      </c>
      <c r="O44" s="69">
        <f t="shared" si="20"/>
        <v>20</v>
      </c>
      <c r="P44" s="69">
        <f t="shared" si="21"/>
        <v>0</v>
      </c>
      <c r="Q44" s="69">
        <f t="shared" si="22"/>
        <v>0</v>
      </c>
      <c r="R44" s="69">
        <f t="shared" si="23"/>
        <v>0</v>
      </c>
      <c r="S44" s="70">
        <f>(M44+N44)*'Parâmetros'!$C$15+(O44+P44+Q44+R44)*'Parâmetros'!$C$16</f>
        <v>500</v>
      </c>
      <c r="T44" s="70">
        <f t="shared" si="24"/>
        <v>500</v>
      </c>
    </row>
    <row r="45" ht="15.75" customHeight="1">
      <c r="A45" s="65">
        <v>51.0</v>
      </c>
      <c r="B45" s="65" t="s">
        <v>129</v>
      </c>
      <c r="C45" s="66" t="s">
        <v>132</v>
      </c>
      <c r="D45" s="67">
        <v>46137.0</v>
      </c>
      <c r="E45" s="67">
        <v>46137.0</v>
      </c>
      <c r="F45" s="65">
        <v>2.0</v>
      </c>
      <c r="G45" s="65">
        <v>16.0</v>
      </c>
      <c r="H45" s="66" t="s">
        <v>66</v>
      </c>
      <c r="I45" s="68">
        <v>1.0</v>
      </c>
      <c r="J45" s="55" t="str">
        <f>IF(I45&gt;=1,"✅ Concluída",IF(I45&gt;0,"🔵 Em execução",IF(E45&lt;'Parâmetros'!$C$10,"🔴 Atrasada","⚪ Não iniciada")))</f>
        <v>✅ Concluída</v>
      </c>
      <c r="K45" s="33">
        <f t="shared" si="17"/>
        <v>16</v>
      </c>
      <c r="L45" s="69">
        <f>IF(E45=D45,IF('Parâmetros'!$C$10&gt;=E45,G45,0),G45*MEDIAN(0,1,('Parâmetros'!$C$10-D45)/(E45-D45)))</f>
        <v>16</v>
      </c>
      <c r="M45" s="69">
        <f t="shared" si="18"/>
        <v>0</v>
      </c>
      <c r="N45" s="69">
        <f t="shared" si="19"/>
        <v>0</v>
      </c>
      <c r="O45" s="69">
        <f t="shared" si="20"/>
        <v>16</v>
      </c>
      <c r="P45" s="69">
        <f t="shared" si="21"/>
        <v>0</v>
      </c>
      <c r="Q45" s="69">
        <f t="shared" si="22"/>
        <v>0</v>
      </c>
      <c r="R45" s="69">
        <f t="shared" si="23"/>
        <v>0</v>
      </c>
      <c r="S45" s="70">
        <f>(M45+N45)*'Parâmetros'!$C$15+(O45+P45+Q45+R45)*'Parâmetros'!$C$16</f>
        <v>400</v>
      </c>
      <c r="T45" s="70">
        <f t="shared" si="24"/>
        <v>400</v>
      </c>
    </row>
    <row r="46" ht="15.75" customHeight="1">
      <c r="A46" s="65">
        <v>53.0</v>
      </c>
      <c r="B46" s="65" t="s">
        <v>133</v>
      </c>
      <c r="C46" s="66" t="s">
        <v>134</v>
      </c>
      <c r="D46" s="67">
        <v>46140.0</v>
      </c>
      <c r="E46" s="67">
        <v>46144.0</v>
      </c>
      <c r="F46" s="65">
        <v>4.0</v>
      </c>
      <c r="G46" s="65">
        <v>32.0</v>
      </c>
      <c r="H46" s="66" t="s">
        <v>66</v>
      </c>
      <c r="I46" s="68">
        <v>1.0</v>
      </c>
      <c r="J46" s="55" t="str">
        <f>IF(I46&gt;=1,"✅ Concluída",IF(I46&gt;0,"🔵 Em execução",IF(E46&lt;'Parâmetros'!$C$10,"🔴 Atrasada","⚪ Não iniciada")))</f>
        <v>✅ Concluída</v>
      </c>
      <c r="K46" s="33">
        <f t="shared" si="17"/>
        <v>32</v>
      </c>
      <c r="L46" s="69">
        <f>IF(E46=D46,IF('Parâmetros'!$C$10&gt;=E46,G46,0),G46*MEDIAN(0,1,('Parâmetros'!$C$10-D46)/(E46-D46)))</f>
        <v>32</v>
      </c>
      <c r="M46" s="69">
        <f t="shared" si="18"/>
        <v>0</v>
      </c>
      <c r="N46" s="69">
        <f t="shared" si="19"/>
        <v>0</v>
      </c>
      <c r="O46" s="69">
        <f t="shared" si="20"/>
        <v>32</v>
      </c>
      <c r="P46" s="69">
        <f t="shared" si="21"/>
        <v>0</v>
      </c>
      <c r="Q46" s="69">
        <f t="shared" si="22"/>
        <v>0</v>
      </c>
      <c r="R46" s="69">
        <f t="shared" si="23"/>
        <v>0</v>
      </c>
      <c r="S46" s="70">
        <f>(M46+N46)*'Parâmetros'!$C$15+(O46+P46+Q46+R46)*'Parâmetros'!$C$16</f>
        <v>800</v>
      </c>
      <c r="T46" s="70">
        <f t="shared" si="24"/>
        <v>800</v>
      </c>
    </row>
    <row r="47" ht="15.75" customHeight="1">
      <c r="A47" s="65">
        <v>54.0</v>
      </c>
      <c r="B47" s="65" t="s">
        <v>133</v>
      </c>
      <c r="C47" s="66" t="s">
        <v>135</v>
      </c>
      <c r="D47" s="67">
        <v>46147.0</v>
      </c>
      <c r="E47" s="67">
        <v>46147.0</v>
      </c>
      <c r="F47" s="65">
        <v>2.0</v>
      </c>
      <c r="G47" s="65">
        <v>16.0</v>
      </c>
      <c r="H47" s="66" t="s">
        <v>66</v>
      </c>
      <c r="I47" s="68">
        <v>1.0</v>
      </c>
      <c r="J47" s="55" t="str">
        <f>IF(I47&gt;=1,"✅ Concluída",IF(I47&gt;0,"🔵 Em execução",IF(E47&lt;'Parâmetros'!$C$10,"🔴 Atrasada","⚪ Não iniciada")))</f>
        <v>✅ Concluída</v>
      </c>
      <c r="K47" s="33">
        <f t="shared" si="17"/>
        <v>16</v>
      </c>
      <c r="L47" s="69">
        <f>IF(E47=D47,IF('Parâmetros'!$C$10&gt;=E47,G47,0),G47*MEDIAN(0,1,('Parâmetros'!$C$10-D47)/(E47-D47)))</f>
        <v>16</v>
      </c>
      <c r="M47" s="69">
        <f t="shared" si="18"/>
        <v>0</v>
      </c>
      <c r="N47" s="69">
        <f t="shared" si="19"/>
        <v>0</v>
      </c>
      <c r="O47" s="69">
        <f t="shared" si="20"/>
        <v>16</v>
      </c>
      <c r="P47" s="69">
        <f t="shared" si="21"/>
        <v>0</v>
      </c>
      <c r="Q47" s="69">
        <f t="shared" si="22"/>
        <v>0</v>
      </c>
      <c r="R47" s="69">
        <f t="shared" si="23"/>
        <v>0</v>
      </c>
      <c r="S47" s="70">
        <f>(M47+N47)*'Parâmetros'!$C$15+(O47+P47+Q47+R47)*'Parâmetros'!$C$16</f>
        <v>400</v>
      </c>
      <c r="T47" s="70">
        <f t="shared" si="24"/>
        <v>400</v>
      </c>
    </row>
    <row r="48" ht="15.75" customHeight="1">
      <c r="A48" s="65">
        <v>55.0</v>
      </c>
      <c r="B48" s="65" t="s">
        <v>133</v>
      </c>
      <c r="C48" s="66" t="s">
        <v>136</v>
      </c>
      <c r="D48" s="67">
        <v>46147.0</v>
      </c>
      <c r="E48" s="67">
        <v>46147.0</v>
      </c>
      <c r="F48" s="65">
        <v>2.0</v>
      </c>
      <c r="G48" s="65">
        <v>16.0</v>
      </c>
      <c r="H48" s="66" t="s">
        <v>67</v>
      </c>
      <c r="I48" s="68">
        <v>1.0</v>
      </c>
      <c r="J48" s="55" t="str">
        <f>IF(I48&gt;=1,"✅ Concluída",IF(I48&gt;0,"🔵 Em execução",IF(E48&lt;'Parâmetros'!$C$10,"🔴 Atrasada","⚪ Não iniciada")))</f>
        <v>✅ Concluída</v>
      </c>
      <c r="K48" s="33">
        <f t="shared" si="17"/>
        <v>16</v>
      </c>
      <c r="L48" s="69">
        <f>IF(E48=D48,IF('Parâmetros'!$C$10&gt;=E48,G48,0),G48*MEDIAN(0,1,('Parâmetros'!$C$10-D48)/(E48-D48)))</f>
        <v>16</v>
      </c>
      <c r="M48" s="69">
        <f t="shared" si="18"/>
        <v>0</v>
      </c>
      <c r="N48" s="69">
        <f t="shared" si="19"/>
        <v>0</v>
      </c>
      <c r="O48" s="69">
        <f t="shared" si="20"/>
        <v>0</v>
      </c>
      <c r="P48" s="69">
        <f t="shared" si="21"/>
        <v>16</v>
      </c>
      <c r="Q48" s="69">
        <f t="shared" si="22"/>
        <v>0</v>
      </c>
      <c r="R48" s="69">
        <f t="shared" si="23"/>
        <v>0</v>
      </c>
      <c r="S48" s="70">
        <f>(M48+N48)*'Parâmetros'!$C$15+(O48+P48+Q48+R48)*'Parâmetros'!$C$16</f>
        <v>400</v>
      </c>
      <c r="T48" s="70">
        <f t="shared" si="24"/>
        <v>400</v>
      </c>
    </row>
    <row r="49" ht="15.75" customHeight="1">
      <c r="A49" s="65">
        <v>56.0</v>
      </c>
      <c r="B49" s="65" t="s">
        <v>133</v>
      </c>
      <c r="C49" s="66" t="s">
        <v>137</v>
      </c>
      <c r="D49" s="67">
        <v>46148.0</v>
      </c>
      <c r="E49" s="67">
        <v>46148.0</v>
      </c>
      <c r="F49" s="65">
        <v>2.0</v>
      </c>
      <c r="G49" s="65">
        <v>20.0</v>
      </c>
      <c r="H49" s="66" t="s">
        <v>67</v>
      </c>
      <c r="I49" s="68">
        <v>1.0</v>
      </c>
      <c r="J49" s="55" t="str">
        <f>IF(I49&gt;=1,"✅ Concluída",IF(I49&gt;0,"🔵 Em execução",IF(E49&lt;'Parâmetros'!$C$10,"🔴 Atrasada","⚪ Não iniciada")))</f>
        <v>✅ Concluída</v>
      </c>
      <c r="K49" s="33">
        <f t="shared" si="17"/>
        <v>20</v>
      </c>
      <c r="L49" s="69">
        <f>IF(E49=D49,IF('Parâmetros'!$C$10&gt;=E49,G49,0),G49*MEDIAN(0,1,('Parâmetros'!$C$10-D49)/(E49-D49)))</f>
        <v>20</v>
      </c>
      <c r="M49" s="69">
        <f t="shared" si="18"/>
        <v>0</v>
      </c>
      <c r="N49" s="69">
        <f t="shared" si="19"/>
        <v>0</v>
      </c>
      <c r="O49" s="69">
        <f t="shared" si="20"/>
        <v>0</v>
      </c>
      <c r="P49" s="69">
        <f t="shared" si="21"/>
        <v>20</v>
      </c>
      <c r="Q49" s="69">
        <f t="shared" si="22"/>
        <v>0</v>
      </c>
      <c r="R49" s="69">
        <f t="shared" si="23"/>
        <v>0</v>
      </c>
      <c r="S49" s="70">
        <f>(M49+N49)*'Parâmetros'!$C$15+(O49+P49+Q49+R49)*'Parâmetros'!$C$16</f>
        <v>500</v>
      </c>
      <c r="T49" s="70">
        <f t="shared" si="24"/>
        <v>500</v>
      </c>
    </row>
    <row r="50" ht="15.75" customHeight="1">
      <c r="A50" s="65">
        <v>57.0</v>
      </c>
      <c r="B50" s="65" t="s">
        <v>133</v>
      </c>
      <c r="C50" s="66" t="s">
        <v>138</v>
      </c>
      <c r="D50" s="67">
        <v>46148.0</v>
      </c>
      <c r="E50" s="67">
        <v>46148.0</v>
      </c>
      <c r="F50" s="65">
        <v>2.0</v>
      </c>
      <c r="G50" s="65">
        <v>16.0</v>
      </c>
      <c r="H50" s="66" t="s">
        <v>66</v>
      </c>
      <c r="I50" s="68">
        <v>1.0</v>
      </c>
      <c r="J50" s="55" t="str">
        <f>IF(I50&gt;=1,"✅ Concluída",IF(I50&gt;0,"🔵 Em execução",IF(E50&lt;'Parâmetros'!$C$10,"🔴 Atrasada","⚪ Não iniciada")))</f>
        <v>✅ Concluída</v>
      </c>
      <c r="K50" s="33">
        <f t="shared" si="17"/>
        <v>16</v>
      </c>
      <c r="L50" s="69">
        <f>IF(E50=D50,IF('Parâmetros'!$C$10&gt;=E50,G50,0),G50*MEDIAN(0,1,('Parâmetros'!$C$10-D50)/(E50-D50)))</f>
        <v>16</v>
      </c>
      <c r="M50" s="69">
        <f t="shared" si="18"/>
        <v>0</v>
      </c>
      <c r="N50" s="69">
        <f t="shared" si="19"/>
        <v>0</v>
      </c>
      <c r="O50" s="69">
        <f t="shared" si="20"/>
        <v>16</v>
      </c>
      <c r="P50" s="69">
        <f t="shared" si="21"/>
        <v>0</v>
      </c>
      <c r="Q50" s="69">
        <f t="shared" si="22"/>
        <v>0</v>
      </c>
      <c r="R50" s="69">
        <f t="shared" si="23"/>
        <v>0</v>
      </c>
      <c r="S50" s="70">
        <f>(M50+N50)*'Parâmetros'!$C$15+(O50+P50+Q50+R50)*'Parâmetros'!$C$16</f>
        <v>400</v>
      </c>
      <c r="T50" s="70">
        <f t="shared" si="24"/>
        <v>400</v>
      </c>
    </row>
    <row r="51" ht="15.75" customHeight="1">
      <c r="A51" s="65">
        <v>59.0</v>
      </c>
      <c r="B51" s="65" t="s">
        <v>139</v>
      </c>
      <c r="C51" s="66" t="s">
        <v>140</v>
      </c>
      <c r="D51" s="67">
        <v>46149.0</v>
      </c>
      <c r="E51" s="67">
        <v>46154.0</v>
      </c>
      <c r="F51" s="65">
        <v>3.0</v>
      </c>
      <c r="G51" s="65">
        <v>24.0</v>
      </c>
      <c r="H51" s="66" t="s">
        <v>67</v>
      </c>
      <c r="I51" s="68">
        <v>1.0</v>
      </c>
      <c r="J51" s="55" t="str">
        <f>IF(I51&gt;=1,"✅ Concluída",IF(I51&gt;0,"🔵 Em execução",IF(E51&lt;'Parâmetros'!$C$10,"🔴 Atrasada","⚪ Não iniciada")))</f>
        <v>✅ Concluída</v>
      </c>
      <c r="K51" s="33">
        <f t="shared" si="17"/>
        <v>24</v>
      </c>
      <c r="L51" s="69">
        <f>IF(E51=D51,IF('Parâmetros'!$C$10&gt;=E51,G51,0),G51*MEDIAN(0,1,('Parâmetros'!$C$10-D51)/(E51-D51)))</f>
        <v>24</v>
      </c>
      <c r="M51" s="69">
        <f t="shared" si="18"/>
        <v>0</v>
      </c>
      <c r="N51" s="69">
        <f t="shared" si="19"/>
        <v>0</v>
      </c>
      <c r="O51" s="69">
        <f t="shared" si="20"/>
        <v>0</v>
      </c>
      <c r="P51" s="69">
        <f t="shared" si="21"/>
        <v>24</v>
      </c>
      <c r="Q51" s="69">
        <f t="shared" si="22"/>
        <v>0</v>
      </c>
      <c r="R51" s="69">
        <f t="shared" si="23"/>
        <v>0</v>
      </c>
      <c r="S51" s="70">
        <f>(M51+N51)*'Parâmetros'!$C$15+(O51+P51+Q51+R51)*'Parâmetros'!$C$16</f>
        <v>600</v>
      </c>
      <c r="T51" s="70">
        <f t="shared" si="24"/>
        <v>600</v>
      </c>
    </row>
    <row r="52" ht="15.75" customHeight="1">
      <c r="A52" s="65">
        <v>60.0</v>
      </c>
      <c r="B52" s="65" t="s">
        <v>139</v>
      </c>
      <c r="C52" s="66" t="s">
        <v>141</v>
      </c>
      <c r="D52" s="67">
        <v>46155.0</v>
      </c>
      <c r="E52" s="67">
        <v>46155.0</v>
      </c>
      <c r="F52" s="65">
        <v>2.0</v>
      </c>
      <c r="G52" s="65">
        <v>20.0</v>
      </c>
      <c r="H52" s="66" t="s">
        <v>67</v>
      </c>
      <c r="I52" s="68">
        <v>1.0</v>
      </c>
      <c r="J52" s="55" t="str">
        <f>IF(I52&gt;=1,"✅ Concluída",IF(I52&gt;0,"🔵 Em execução",IF(E52&lt;'Parâmetros'!$C$10,"🔴 Atrasada","⚪ Não iniciada")))</f>
        <v>✅ Concluída</v>
      </c>
      <c r="K52" s="33">
        <f t="shared" si="17"/>
        <v>20</v>
      </c>
      <c r="L52" s="69">
        <f>IF(E52=D52,IF('Parâmetros'!$C$10&gt;=E52,G52,0),G52*MEDIAN(0,1,('Parâmetros'!$C$10-D52)/(E52-D52)))</f>
        <v>20</v>
      </c>
      <c r="M52" s="69">
        <f t="shared" si="18"/>
        <v>0</v>
      </c>
      <c r="N52" s="69">
        <f t="shared" si="19"/>
        <v>0</v>
      </c>
      <c r="O52" s="69">
        <f t="shared" si="20"/>
        <v>0</v>
      </c>
      <c r="P52" s="69">
        <f t="shared" si="21"/>
        <v>20</v>
      </c>
      <c r="Q52" s="69">
        <f t="shared" si="22"/>
        <v>0</v>
      </c>
      <c r="R52" s="69">
        <f t="shared" si="23"/>
        <v>0</v>
      </c>
      <c r="S52" s="70">
        <f>(M52+N52)*'Parâmetros'!$C$15+(O52+P52+Q52+R52)*'Parâmetros'!$C$16</f>
        <v>500</v>
      </c>
      <c r="T52" s="70">
        <f t="shared" si="24"/>
        <v>500</v>
      </c>
    </row>
    <row r="53" ht="15.75" customHeight="1">
      <c r="A53" s="65">
        <v>61.0</v>
      </c>
      <c r="B53" s="65" t="s">
        <v>139</v>
      </c>
      <c r="C53" s="66" t="s">
        <v>142</v>
      </c>
      <c r="D53" s="67">
        <v>46156.0</v>
      </c>
      <c r="E53" s="67">
        <v>46156.0</v>
      </c>
      <c r="F53" s="65">
        <v>2.0</v>
      </c>
      <c r="G53" s="65">
        <v>16.0</v>
      </c>
      <c r="H53" s="66" t="s">
        <v>67</v>
      </c>
      <c r="I53" s="68">
        <v>1.0</v>
      </c>
      <c r="J53" s="55" t="str">
        <f>IF(I53&gt;=1,"✅ Concluída",IF(I53&gt;0,"🔵 Em execução",IF(E53&lt;'Parâmetros'!$C$10,"🔴 Atrasada","⚪ Não iniciada")))</f>
        <v>✅ Concluída</v>
      </c>
      <c r="K53" s="33">
        <f t="shared" si="17"/>
        <v>16</v>
      </c>
      <c r="L53" s="69">
        <f>IF(E53=D53,IF('Parâmetros'!$C$10&gt;=E53,G53,0),G53*MEDIAN(0,1,('Parâmetros'!$C$10-D53)/(E53-D53)))</f>
        <v>16</v>
      </c>
      <c r="M53" s="69">
        <f t="shared" si="18"/>
        <v>0</v>
      </c>
      <c r="N53" s="69">
        <f t="shared" si="19"/>
        <v>0</v>
      </c>
      <c r="O53" s="69">
        <f t="shared" si="20"/>
        <v>0</v>
      </c>
      <c r="P53" s="69">
        <f t="shared" si="21"/>
        <v>16</v>
      </c>
      <c r="Q53" s="69">
        <f t="shared" si="22"/>
        <v>0</v>
      </c>
      <c r="R53" s="69">
        <f t="shared" si="23"/>
        <v>0</v>
      </c>
      <c r="S53" s="70">
        <f>(M53+N53)*'Parâmetros'!$C$15+(O53+P53+Q53+R53)*'Parâmetros'!$C$16</f>
        <v>400</v>
      </c>
      <c r="T53" s="70">
        <f t="shared" si="24"/>
        <v>400</v>
      </c>
    </row>
    <row r="54" ht="15.75" customHeight="1">
      <c r="A54" s="65">
        <v>63.0</v>
      </c>
      <c r="B54" s="65" t="s">
        <v>143</v>
      </c>
      <c r="C54" s="66" t="s">
        <v>144</v>
      </c>
      <c r="D54" s="67">
        <v>46157.0</v>
      </c>
      <c r="E54" s="67">
        <v>46158.0</v>
      </c>
      <c r="F54" s="65">
        <v>3.0</v>
      </c>
      <c r="G54" s="65">
        <v>24.0</v>
      </c>
      <c r="H54" s="66" t="s">
        <v>67</v>
      </c>
      <c r="I54" s="68">
        <v>0.7</v>
      </c>
      <c r="J54" s="55" t="str">
        <f>IF(I54&gt;=1,"✅ Concluída",IF(I54&gt;0,"🔵 Em execução",IF(E54&lt;'Parâmetros'!$C$10,"🔴 Atrasada","⚪ Não iniciada")))</f>
        <v>🔵 Em execução</v>
      </c>
      <c r="K54" s="33">
        <f t="shared" si="17"/>
        <v>16.8</v>
      </c>
      <c r="L54" s="69">
        <f>IF(E54=D54,IF('Parâmetros'!$C$10&gt;=E54,G54,0),G54*MEDIAN(0,1,('Parâmetros'!$C$10-D54)/(E54-D54)))</f>
        <v>24</v>
      </c>
      <c r="M54" s="69">
        <f t="shared" si="18"/>
        <v>0</v>
      </c>
      <c r="N54" s="69">
        <f t="shared" si="19"/>
        <v>0</v>
      </c>
      <c r="O54" s="69">
        <f t="shared" si="20"/>
        <v>0</v>
      </c>
      <c r="P54" s="69">
        <f t="shared" si="21"/>
        <v>24</v>
      </c>
      <c r="Q54" s="69">
        <f t="shared" si="22"/>
        <v>0</v>
      </c>
      <c r="R54" s="69">
        <f t="shared" si="23"/>
        <v>0</v>
      </c>
      <c r="S54" s="70">
        <f>(M54+N54)*'Parâmetros'!$C$15+(O54+P54+Q54+R54)*'Parâmetros'!$C$16</f>
        <v>600</v>
      </c>
      <c r="T54" s="70">
        <f t="shared" si="24"/>
        <v>420</v>
      </c>
    </row>
    <row r="55" ht="15.75" customHeight="1">
      <c r="A55" s="65">
        <v>64.0</v>
      </c>
      <c r="B55" s="65" t="s">
        <v>143</v>
      </c>
      <c r="C55" s="66" t="s">
        <v>145</v>
      </c>
      <c r="D55" s="67">
        <v>46161.0</v>
      </c>
      <c r="E55" s="67">
        <v>46161.0</v>
      </c>
      <c r="F55" s="65">
        <v>2.0</v>
      </c>
      <c r="G55" s="65">
        <v>20.0</v>
      </c>
      <c r="H55" s="66" t="s">
        <v>67</v>
      </c>
      <c r="I55" s="68">
        <v>0.0</v>
      </c>
      <c r="J55" s="55" t="str">
        <f>IF(I55&gt;=1,"✅ Concluída",IF(I55&gt;0,"🔵 Em execução",IF(E55&lt;'Parâmetros'!$C$10,"🔴 Atrasada","⚪ Não iniciada")))</f>
        <v>🔴 Atrasada</v>
      </c>
      <c r="K55" s="33">
        <f t="shared" si="17"/>
        <v>0</v>
      </c>
      <c r="L55" s="69">
        <f>IF(E55=D55,IF('Parâmetros'!$C$10&gt;=E55,G55,0),G55*MEDIAN(0,1,('Parâmetros'!$C$10-D55)/(E55-D55)))</f>
        <v>20</v>
      </c>
      <c r="M55" s="69">
        <f t="shared" si="18"/>
        <v>0</v>
      </c>
      <c r="N55" s="69">
        <f t="shared" si="19"/>
        <v>0</v>
      </c>
      <c r="O55" s="69">
        <f t="shared" si="20"/>
        <v>0</v>
      </c>
      <c r="P55" s="69">
        <f t="shared" si="21"/>
        <v>20</v>
      </c>
      <c r="Q55" s="69">
        <f t="shared" si="22"/>
        <v>0</v>
      </c>
      <c r="R55" s="69">
        <f t="shared" si="23"/>
        <v>0</v>
      </c>
      <c r="S55" s="70">
        <f>(M55+N55)*'Parâmetros'!$C$15+(O55+P55+Q55+R55)*'Parâmetros'!$C$16</f>
        <v>500</v>
      </c>
      <c r="T55" s="70">
        <f t="shared" si="24"/>
        <v>0</v>
      </c>
    </row>
    <row r="56" ht="15.75" customHeight="1">
      <c r="A56" s="65">
        <v>65.0</v>
      </c>
      <c r="B56" s="65" t="s">
        <v>143</v>
      </c>
      <c r="C56" s="66" t="s">
        <v>146</v>
      </c>
      <c r="D56" s="67">
        <v>46162.0</v>
      </c>
      <c r="E56" s="67">
        <v>46162.0</v>
      </c>
      <c r="F56" s="65">
        <v>2.0</v>
      </c>
      <c r="G56" s="65">
        <v>16.0</v>
      </c>
      <c r="H56" s="66" t="s">
        <v>67</v>
      </c>
      <c r="I56" s="68">
        <v>0.0</v>
      </c>
      <c r="J56" s="55" t="str">
        <f>IF(I56&gt;=1,"✅ Concluída",IF(I56&gt;0,"🔵 Em execução",IF(E56&lt;'Parâmetros'!$C$10,"🔴 Atrasada","⚪ Não iniciada")))</f>
        <v>🔴 Atrasada</v>
      </c>
      <c r="K56" s="33">
        <f t="shared" si="17"/>
        <v>0</v>
      </c>
      <c r="L56" s="69">
        <f>IF(E56=D56,IF('Parâmetros'!$C$10&gt;=E56,G56,0),G56*MEDIAN(0,1,('Parâmetros'!$C$10-D56)/(E56-D56)))</f>
        <v>16</v>
      </c>
      <c r="M56" s="69">
        <f t="shared" si="18"/>
        <v>0</v>
      </c>
      <c r="N56" s="69">
        <f t="shared" si="19"/>
        <v>0</v>
      </c>
      <c r="O56" s="69">
        <f t="shared" si="20"/>
        <v>0</v>
      </c>
      <c r="P56" s="69">
        <f t="shared" si="21"/>
        <v>16</v>
      </c>
      <c r="Q56" s="69">
        <f t="shared" si="22"/>
        <v>0</v>
      </c>
      <c r="R56" s="69">
        <f t="shared" si="23"/>
        <v>0</v>
      </c>
      <c r="S56" s="70">
        <f>(M56+N56)*'Parâmetros'!$C$15+(O56+P56+Q56+R56)*'Parâmetros'!$C$16</f>
        <v>400</v>
      </c>
      <c r="T56" s="70">
        <f t="shared" si="24"/>
        <v>0</v>
      </c>
    </row>
    <row r="57" ht="15.75" customHeight="1">
      <c r="A57" s="65">
        <v>66.0</v>
      </c>
      <c r="B57" s="65" t="s">
        <v>143</v>
      </c>
      <c r="C57" s="66" t="s">
        <v>147</v>
      </c>
      <c r="D57" s="67">
        <v>46163.0</v>
      </c>
      <c r="E57" s="67">
        <v>46163.0</v>
      </c>
      <c r="F57" s="65">
        <v>2.0</v>
      </c>
      <c r="G57" s="65">
        <v>16.0</v>
      </c>
      <c r="H57" s="66" t="s">
        <v>67</v>
      </c>
      <c r="I57" s="68">
        <v>0.0</v>
      </c>
      <c r="J57" s="55" t="str">
        <f>IF(I57&gt;=1,"✅ Concluída",IF(I57&gt;0,"🔵 Em execução",IF(E57&lt;'Parâmetros'!$C$10,"🔴 Atrasada","⚪ Não iniciada")))</f>
        <v>🔴 Atrasada</v>
      </c>
      <c r="K57" s="33">
        <f t="shared" si="17"/>
        <v>0</v>
      </c>
      <c r="L57" s="69">
        <f>IF(E57=D57,IF('Parâmetros'!$C$10&gt;=E57,G57,0),G57*MEDIAN(0,1,('Parâmetros'!$C$10-D57)/(E57-D57)))</f>
        <v>16</v>
      </c>
      <c r="M57" s="69">
        <f t="shared" si="18"/>
        <v>0</v>
      </c>
      <c r="N57" s="69">
        <f t="shared" si="19"/>
        <v>0</v>
      </c>
      <c r="O57" s="69">
        <f t="shared" si="20"/>
        <v>0</v>
      </c>
      <c r="P57" s="69">
        <f t="shared" si="21"/>
        <v>16</v>
      </c>
      <c r="Q57" s="69">
        <f t="shared" si="22"/>
        <v>0</v>
      </c>
      <c r="R57" s="69">
        <f t="shared" si="23"/>
        <v>0</v>
      </c>
      <c r="S57" s="70">
        <f>(M57+N57)*'Parâmetros'!$C$15+(O57+P57+Q57+R57)*'Parâmetros'!$C$16</f>
        <v>400</v>
      </c>
      <c r="T57" s="70">
        <f t="shared" si="24"/>
        <v>0</v>
      </c>
    </row>
    <row r="58" ht="15.75" customHeight="1">
      <c r="A58" s="72">
        <v>68.0</v>
      </c>
      <c r="B58" s="72" t="s">
        <v>148</v>
      </c>
      <c r="C58" s="73" t="s">
        <v>149</v>
      </c>
      <c r="D58" s="74">
        <v>46149.0</v>
      </c>
      <c r="E58" s="74">
        <v>46155.0</v>
      </c>
      <c r="F58" s="72">
        <v>4.0</v>
      </c>
      <c r="G58" s="72">
        <v>28.0</v>
      </c>
      <c r="H58" s="73" t="s">
        <v>68</v>
      </c>
      <c r="I58" s="75">
        <v>1.0</v>
      </c>
      <c r="J58" s="76" t="str">
        <f>IF(I58&gt;=1,"✅ Concluída",IF(I58&gt;0,"🔵 Em execução",IF(E58&lt;'Parâmetros'!$C$10,"🔴 Atrasada","⚪ Não iniciada")))</f>
        <v>✅ Concluída</v>
      </c>
      <c r="K58" s="77">
        <f t="shared" si="17"/>
        <v>28</v>
      </c>
      <c r="L58" s="69">
        <f>IF(E58=D58,IF('Parâmetros'!$C$10&gt;=E58,G58,0),G58*MEDIAN(0,1,('Parâmetros'!$C$10-D58)/(E58-D58)))</f>
        <v>28</v>
      </c>
      <c r="M58" s="69">
        <f t="shared" si="18"/>
        <v>0</v>
      </c>
      <c r="N58" s="69">
        <f t="shared" si="19"/>
        <v>0</v>
      </c>
      <c r="O58" s="69">
        <f t="shared" si="20"/>
        <v>0</v>
      </c>
      <c r="P58" s="69">
        <f t="shared" si="21"/>
        <v>0</v>
      </c>
      <c r="Q58" s="69">
        <f t="shared" si="22"/>
        <v>28</v>
      </c>
      <c r="R58" s="69">
        <f t="shared" si="23"/>
        <v>0</v>
      </c>
      <c r="S58" s="70">
        <f>(M58+N58)*'Parâmetros'!$C$15+(O58+P58+Q58+R58)*'Parâmetros'!$C$16</f>
        <v>700</v>
      </c>
      <c r="T58" s="70">
        <f t="shared" si="24"/>
        <v>700</v>
      </c>
    </row>
    <row r="59" ht="15.75" customHeight="1">
      <c r="A59" s="65">
        <v>69.0</v>
      </c>
      <c r="B59" s="65" t="s">
        <v>148</v>
      </c>
      <c r="C59" s="66" t="s">
        <v>150</v>
      </c>
      <c r="D59" s="67">
        <v>46156.0</v>
      </c>
      <c r="E59" s="67">
        <v>46158.0</v>
      </c>
      <c r="F59" s="65">
        <v>4.0</v>
      </c>
      <c r="G59" s="65">
        <v>28.0</v>
      </c>
      <c r="H59" s="66" t="s">
        <v>68</v>
      </c>
      <c r="I59" s="68">
        <v>0.0</v>
      </c>
      <c r="J59" s="55" t="str">
        <f>IF(I59&gt;=1,"✅ Concluída",IF(I59&gt;0,"🔵 Em execução",IF(E59&lt;'Parâmetros'!$C$10,"🔴 Atrasada","⚪ Não iniciada")))</f>
        <v>🔴 Atrasada</v>
      </c>
      <c r="K59" s="33">
        <f t="shared" si="17"/>
        <v>0</v>
      </c>
      <c r="L59" s="69">
        <f>IF(E59=D59,IF('Parâmetros'!$C$10&gt;=E59,G59,0),G59*MEDIAN(0,1,('Parâmetros'!$C$10-D59)/(E59-D59)))</f>
        <v>28</v>
      </c>
      <c r="M59" s="69">
        <f t="shared" si="18"/>
        <v>0</v>
      </c>
      <c r="N59" s="69">
        <f t="shared" si="19"/>
        <v>0</v>
      </c>
      <c r="O59" s="69">
        <f t="shared" si="20"/>
        <v>0</v>
      </c>
      <c r="P59" s="69">
        <f t="shared" si="21"/>
        <v>0</v>
      </c>
      <c r="Q59" s="69">
        <f t="shared" si="22"/>
        <v>28</v>
      </c>
      <c r="R59" s="69">
        <f t="shared" si="23"/>
        <v>0</v>
      </c>
      <c r="S59" s="70">
        <f>(M59+N59)*'Parâmetros'!$C$15+(O59+P59+Q59+R59)*'Parâmetros'!$C$16</f>
        <v>700</v>
      </c>
      <c r="T59" s="70">
        <f t="shared" si="24"/>
        <v>0</v>
      </c>
    </row>
    <row r="60" ht="15.75" customHeight="1">
      <c r="A60" s="65">
        <v>70.0</v>
      </c>
      <c r="B60" s="65" t="s">
        <v>148</v>
      </c>
      <c r="C60" s="66" t="s">
        <v>151</v>
      </c>
      <c r="D60" s="67">
        <v>46161.0</v>
      </c>
      <c r="E60" s="67">
        <v>46161.0</v>
      </c>
      <c r="F60" s="65">
        <v>2.0</v>
      </c>
      <c r="G60" s="65">
        <v>14.0</v>
      </c>
      <c r="H60" s="66" t="s">
        <v>68</v>
      </c>
      <c r="I60" s="68">
        <v>0.0</v>
      </c>
      <c r="J60" s="55" t="str">
        <f>IF(I60&gt;=1,"✅ Concluída",IF(I60&gt;0,"🔵 Em execução",IF(E60&lt;'Parâmetros'!$C$10,"🔴 Atrasada","⚪ Não iniciada")))</f>
        <v>🔴 Atrasada</v>
      </c>
      <c r="K60" s="33">
        <f t="shared" si="17"/>
        <v>0</v>
      </c>
      <c r="L60" s="69">
        <f>IF(E60=D60,IF('Parâmetros'!$C$10&gt;=E60,G60,0),G60*MEDIAN(0,1,('Parâmetros'!$C$10-D60)/(E60-D60)))</f>
        <v>14</v>
      </c>
      <c r="M60" s="69">
        <f t="shared" si="18"/>
        <v>0</v>
      </c>
      <c r="N60" s="69">
        <f t="shared" si="19"/>
        <v>0</v>
      </c>
      <c r="O60" s="69">
        <f t="shared" si="20"/>
        <v>0</v>
      </c>
      <c r="P60" s="69">
        <f t="shared" si="21"/>
        <v>0</v>
      </c>
      <c r="Q60" s="69">
        <f t="shared" si="22"/>
        <v>14</v>
      </c>
      <c r="R60" s="69">
        <f t="shared" si="23"/>
        <v>0</v>
      </c>
      <c r="S60" s="70">
        <f>(M60+N60)*'Parâmetros'!$C$15+(O60+P60+Q60+R60)*'Parâmetros'!$C$16</f>
        <v>350</v>
      </c>
      <c r="T60" s="70">
        <f t="shared" si="24"/>
        <v>0</v>
      </c>
    </row>
    <row r="61" ht="15.75" customHeight="1">
      <c r="A61" s="65">
        <v>72.0</v>
      </c>
      <c r="B61" s="65" t="s">
        <v>152</v>
      </c>
      <c r="C61" s="66" t="s">
        <v>153</v>
      </c>
      <c r="D61" s="67">
        <v>46162.0</v>
      </c>
      <c r="E61" s="67">
        <v>46162.0</v>
      </c>
      <c r="F61" s="65">
        <v>2.0</v>
      </c>
      <c r="G61" s="65">
        <v>20.0</v>
      </c>
      <c r="H61" s="66" t="s">
        <v>68</v>
      </c>
      <c r="I61" s="68">
        <v>0.0</v>
      </c>
      <c r="J61" s="55" t="str">
        <f>IF(I61&gt;=1,"✅ Concluída",IF(I61&gt;0,"🔵 Em execução",IF(E61&lt;'Parâmetros'!$C$10,"🔴 Atrasada","⚪ Não iniciada")))</f>
        <v>🔴 Atrasada</v>
      </c>
      <c r="K61" s="33">
        <f t="shared" si="17"/>
        <v>0</v>
      </c>
      <c r="L61" s="69">
        <f>IF(E61=D61,IF('Parâmetros'!$C$10&gt;=E61,G61,0),G61*MEDIAN(0,1,('Parâmetros'!$C$10-D61)/(E61-D61)))</f>
        <v>20</v>
      </c>
      <c r="M61" s="69">
        <f t="shared" si="18"/>
        <v>0</v>
      </c>
      <c r="N61" s="69">
        <f t="shared" si="19"/>
        <v>0</v>
      </c>
      <c r="O61" s="69">
        <f t="shared" si="20"/>
        <v>0</v>
      </c>
      <c r="P61" s="69">
        <f t="shared" si="21"/>
        <v>0</v>
      </c>
      <c r="Q61" s="69">
        <f t="shared" si="22"/>
        <v>20</v>
      </c>
      <c r="R61" s="69">
        <f t="shared" si="23"/>
        <v>0</v>
      </c>
      <c r="S61" s="70">
        <f>(M61+N61)*'Parâmetros'!$C$15+(O61+P61+Q61+R61)*'Parâmetros'!$C$16</f>
        <v>500</v>
      </c>
      <c r="T61" s="70">
        <f t="shared" si="24"/>
        <v>0</v>
      </c>
    </row>
    <row r="62" ht="15.75" customHeight="1">
      <c r="A62" s="65">
        <v>73.0</v>
      </c>
      <c r="B62" s="65" t="s">
        <v>152</v>
      </c>
      <c r="C62" s="66" t="s">
        <v>154</v>
      </c>
      <c r="D62" s="67">
        <v>46163.0</v>
      </c>
      <c r="E62" s="67">
        <v>46163.0</v>
      </c>
      <c r="F62" s="65">
        <v>2.0</v>
      </c>
      <c r="G62" s="65">
        <v>20.0</v>
      </c>
      <c r="H62" s="66" t="s">
        <v>68</v>
      </c>
      <c r="I62" s="68">
        <v>0.0</v>
      </c>
      <c r="J62" s="55" t="str">
        <f>IF(I62&gt;=1,"✅ Concluída",IF(I62&gt;0,"🔵 Em execução",IF(E62&lt;'Parâmetros'!$C$10,"🔴 Atrasada","⚪ Não iniciada")))</f>
        <v>🔴 Atrasada</v>
      </c>
      <c r="K62" s="33">
        <f t="shared" si="17"/>
        <v>0</v>
      </c>
      <c r="L62" s="69">
        <f>IF(E62=D62,IF('Parâmetros'!$C$10&gt;=E62,G62,0),G62*MEDIAN(0,1,('Parâmetros'!$C$10-D62)/(E62-D62)))</f>
        <v>20</v>
      </c>
      <c r="M62" s="69">
        <f t="shared" si="18"/>
        <v>0</v>
      </c>
      <c r="N62" s="69">
        <f t="shared" si="19"/>
        <v>0</v>
      </c>
      <c r="O62" s="69">
        <f t="shared" si="20"/>
        <v>0</v>
      </c>
      <c r="P62" s="69">
        <f t="shared" si="21"/>
        <v>0</v>
      </c>
      <c r="Q62" s="69">
        <f t="shared" si="22"/>
        <v>20</v>
      </c>
      <c r="R62" s="69">
        <f t="shared" si="23"/>
        <v>0</v>
      </c>
      <c r="S62" s="70">
        <f>(M62+N62)*'Parâmetros'!$C$15+(O62+P62+Q62+R62)*'Parâmetros'!$C$16</f>
        <v>500</v>
      </c>
      <c r="T62" s="70">
        <f t="shared" si="24"/>
        <v>0</v>
      </c>
    </row>
    <row r="63" ht="15.75" customHeight="1">
      <c r="A63" s="65">
        <v>74.0</v>
      </c>
      <c r="B63" s="65" t="s">
        <v>152</v>
      </c>
      <c r="C63" s="66" t="s">
        <v>155</v>
      </c>
      <c r="D63" s="67">
        <v>46164.0</v>
      </c>
      <c r="E63" s="67">
        <v>46169.0</v>
      </c>
      <c r="F63" s="65">
        <v>4.0</v>
      </c>
      <c r="G63" s="65">
        <v>28.0</v>
      </c>
      <c r="H63" s="66" t="s">
        <v>156</v>
      </c>
      <c r="I63" s="68">
        <v>0.0</v>
      </c>
      <c r="J63" s="55" t="str">
        <f>IF(I63&gt;=1,"✅ Concluída",IF(I63&gt;0,"🔵 Em execução",IF(E63&lt;'Parâmetros'!$C$10,"🔴 Atrasada","⚪ Não iniciada")))</f>
        <v>🔴 Atrasada</v>
      </c>
      <c r="K63" s="33">
        <f t="shared" si="17"/>
        <v>0</v>
      </c>
      <c r="L63" s="69">
        <f>IF(E63=D63,IF('Parâmetros'!$C$10&gt;=E63,G63,0),G63*MEDIAN(0,1,('Parâmetros'!$C$10-D63)/(E63-D63)))</f>
        <v>28</v>
      </c>
      <c r="M63" s="69">
        <f t="shared" si="18"/>
        <v>14</v>
      </c>
      <c r="N63" s="69">
        <f t="shared" si="19"/>
        <v>0</v>
      </c>
      <c r="O63" s="69">
        <f t="shared" si="20"/>
        <v>0</v>
      </c>
      <c r="P63" s="69">
        <f t="shared" si="21"/>
        <v>0</v>
      </c>
      <c r="Q63" s="69">
        <f t="shared" si="22"/>
        <v>14</v>
      </c>
      <c r="R63" s="69">
        <f t="shared" si="23"/>
        <v>0</v>
      </c>
      <c r="S63" s="70">
        <f>(M63+N63)*'Parâmetros'!$C$15+(O63+P63+Q63+R63)*'Parâmetros'!$C$16</f>
        <v>770</v>
      </c>
      <c r="T63" s="70">
        <f t="shared" si="24"/>
        <v>0</v>
      </c>
    </row>
    <row r="64" ht="15.75" customHeight="1">
      <c r="A64" s="65">
        <v>76.0</v>
      </c>
      <c r="B64" s="65" t="s">
        <v>157</v>
      </c>
      <c r="C64" s="66" t="s">
        <v>158</v>
      </c>
      <c r="D64" s="67">
        <v>46170.0</v>
      </c>
      <c r="E64" s="67">
        <v>46172.0</v>
      </c>
      <c r="F64" s="65">
        <v>4.0</v>
      </c>
      <c r="G64" s="65">
        <v>28.0</v>
      </c>
      <c r="H64" s="66" t="s">
        <v>66</v>
      </c>
      <c r="I64" s="68">
        <v>0.0</v>
      </c>
      <c r="J64" s="55" t="str">
        <f>IF(I64&gt;=1,"✅ Concluída",IF(I64&gt;0,"🔵 Em execução",IF(E64&lt;'Parâmetros'!$C$10,"🔴 Atrasada","⚪ Não iniciada")))</f>
        <v>🔴 Atrasada</v>
      </c>
      <c r="K64" s="33">
        <f t="shared" si="17"/>
        <v>0</v>
      </c>
      <c r="L64" s="69">
        <f>IF(E64=D64,IF('Parâmetros'!$C$10&gt;=E64,G64,0),G64*MEDIAN(0,1,('Parâmetros'!$C$10-D64)/(E64-D64)))</f>
        <v>28</v>
      </c>
      <c r="M64" s="69">
        <f t="shared" si="18"/>
        <v>0</v>
      </c>
      <c r="N64" s="69">
        <f t="shared" si="19"/>
        <v>0</v>
      </c>
      <c r="O64" s="69">
        <f t="shared" si="20"/>
        <v>28</v>
      </c>
      <c r="P64" s="69">
        <f t="shared" si="21"/>
        <v>0</v>
      </c>
      <c r="Q64" s="69">
        <f t="shared" si="22"/>
        <v>0</v>
      </c>
      <c r="R64" s="69">
        <f t="shared" si="23"/>
        <v>0</v>
      </c>
      <c r="S64" s="70">
        <f>(M64+N64)*'Parâmetros'!$C$15+(O64+P64+Q64+R64)*'Parâmetros'!$C$16</f>
        <v>700</v>
      </c>
      <c r="T64" s="70">
        <f t="shared" si="24"/>
        <v>0</v>
      </c>
    </row>
    <row r="65" ht="15.75" customHeight="1">
      <c r="A65" s="65">
        <v>78.0</v>
      </c>
      <c r="B65" s="65" t="s">
        <v>157</v>
      </c>
      <c r="C65" s="66" t="s">
        <v>159</v>
      </c>
      <c r="D65" s="67">
        <v>46174.0</v>
      </c>
      <c r="E65" s="67">
        <v>46178.0</v>
      </c>
      <c r="F65" s="65">
        <v>4.0</v>
      </c>
      <c r="G65" s="65">
        <v>28.0</v>
      </c>
      <c r="H65" s="66" t="s">
        <v>67</v>
      </c>
      <c r="I65" s="68">
        <v>0.0</v>
      </c>
      <c r="J65" s="55" t="str">
        <f>IF(I65&gt;=1,"✅ Concluída",IF(I65&gt;0,"🔵 Em execução",IF(E65&lt;'Parâmetros'!$C$10,"🔴 Atrasada","⚪ Não iniciada")))</f>
        <v>⚪ Não iniciada</v>
      </c>
      <c r="K65" s="33">
        <f t="shared" si="17"/>
        <v>0</v>
      </c>
      <c r="L65" s="69">
        <f>IF(E65=D65,IF('Parâmetros'!$C$10&gt;=E65,G65,0),G65*MEDIAN(0,1,('Parâmetros'!$C$10-D65)/(E65-D65)))</f>
        <v>0</v>
      </c>
      <c r="M65" s="69">
        <f t="shared" si="18"/>
        <v>0</v>
      </c>
      <c r="N65" s="69">
        <f t="shared" si="19"/>
        <v>0</v>
      </c>
      <c r="O65" s="69">
        <f t="shared" si="20"/>
        <v>0</v>
      </c>
      <c r="P65" s="69">
        <f t="shared" si="21"/>
        <v>28</v>
      </c>
      <c r="Q65" s="69">
        <f t="shared" si="22"/>
        <v>0</v>
      </c>
      <c r="R65" s="69">
        <f t="shared" si="23"/>
        <v>0</v>
      </c>
      <c r="S65" s="70">
        <f>(M65+N65)*'Parâmetros'!$C$15+(O65+P65+Q65+R65)*'Parâmetros'!$C$16</f>
        <v>700</v>
      </c>
      <c r="T65" s="70">
        <f t="shared" si="24"/>
        <v>0</v>
      </c>
    </row>
    <row r="66" ht="15.75" customHeight="1">
      <c r="A66" s="78">
        <v>120.0</v>
      </c>
      <c r="B66" s="78" t="s">
        <v>160</v>
      </c>
      <c r="C66" s="79" t="s">
        <v>161</v>
      </c>
      <c r="D66" s="80">
        <v>46174.0</v>
      </c>
      <c r="E66" s="80">
        <v>46175.0</v>
      </c>
      <c r="F66" s="78">
        <v>3.0</v>
      </c>
      <c r="G66" s="81">
        <v>4.0</v>
      </c>
      <c r="H66" s="79" t="s">
        <v>67</v>
      </c>
      <c r="I66" s="68">
        <v>0.0</v>
      </c>
      <c r="J66" s="55" t="str">
        <f>IF(I66&gt;=1,"✅ Concluída",IF(I66&gt;0,"🔵 Em execução",IF(E66&lt;'Parâmetros'!$C$10,"🔴 Atrasada","⚪ Não iniciada")))</f>
        <v>⚪ Não iniciada</v>
      </c>
      <c r="K66" s="33">
        <f t="shared" si="17"/>
        <v>0</v>
      </c>
      <c r="L66" s="69">
        <f>IF(E66=D66,IF('Parâmetros'!$C$10&gt;=E66,G66,0),G66*MEDIAN(0,1,('Parâmetros'!$C$10-D66)/(E66-D66)))</f>
        <v>0</v>
      </c>
      <c r="M66" s="69">
        <f t="shared" si="18"/>
        <v>0</v>
      </c>
      <c r="N66" s="69">
        <f t="shared" si="19"/>
        <v>0</v>
      </c>
      <c r="O66" s="69">
        <f t="shared" si="20"/>
        <v>0</v>
      </c>
      <c r="P66" s="69">
        <f t="shared" si="21"/>
        <v>4</v>
      </c>
      <c r="Q66" s="69">
        <f t="shared" si="22"/>
        <v>0</v>
      </c>
      <c r="R66" s="69">
        <f t="shared" si="23"/>
        <v>0</v>
      </c>
      <c r="S66" s="70">
        <f>(M66+N66)*'Parâmetros'!$C$15+(O66+P66+Q66+R66)*'Parâmetros'!$C$16</f>
        <v>100</v>
      </c>
      <c r="T66" s="70">
        <f t="shared" si="24"/>
        <v>0</v>
      </c>
    </row>
    <row r="67" ht="15.75" customHeight="1">
      <c r="A67" s="78">
        <v>121.0</v>
      </c>
      <c r="B67" s="78" t="s">
        <v>162</v>
      </c>
      <c r="C67" s="79" t="s">
        <v>163</v>
      </c>
      <c r="D67" s="80">
        <v>46175.0</v>
      </c>
      <c r="E67" s="80">
        <v>46177.0</v>
      </c>
      <c r="F67" s="78">
        <v>3.0</v>
      </c>
      <c r="G67" s="78">
        <v>15.0</v>
      </c>
      <c r="H67" s="79" t="s">
        <v>67</v>
      </c>
      <c r="I67" s="68">
        <v>0.0</v>
      </c>
      <c r="J67" s="55" t="str">
        <f>IF(I67&gt;=1,"✅ Concluída",IF(I67&gt;0,"🔵 Em execução",IF(E67&lt;'Parâmetros'!$C$10,"🔴 Atrasada","⚪ Não iniciada")))</f>
        <v>⚪ Não iniciada</v>
      </c>
      <c r="K67" s="33">
        <f t="shared" si="17"/>
        <v>0</v>
      </c>
      <c r="S67" s="70"/>
      <c r="T67" s="69">
        <f t="shared" si="24"/>
        <v>0</v>
      </c>
    </row>
    <row r="68" ht="15.75" customHeight="1">
      <c r="A68" s="78">
        <v>122.0</v>
      </c>
      <c r="B68" s="78" t="s">
        <v>160</v>
      </c>
      <c r="C68" s="79" t="s">
        <v>164</v>
      </c>
      <c r="D68" s="80">
        <v>46177.0</v>
      </c>
      <c r="E68" s="80">
        <v>46178.0</v>
      </c>
      <c r="F68" s="78">
        <v>2.0</v>
      </c>
      <c r="G68" s="81">
        <v>10.0</v>
      </c>
      <c r="H68" s="79" t="s">
        <v>67</v>
      </c>
      <c r="I68" s="68">
        <v>0.0</v>
      </c>
      <c r="J68" s="55" t="str">
        <f>IF(I68&gt;=1,"✅ Concluída",IF(I68&gt;0,"🔵 Em execução",IF(E68&lt;'Parâmetros'!$C$10,"🔴 Atrasada","⚪ Não iniciada")))</f>
        <v>⚪ Não iniciada</v>
      </c>
      <c r="K68" s="33">
        <f t="shared" si="17"/>
        <v>0</v>
      </c>
      <c r="L68" s="69">
        <f>IF(E68=D68,IF('Parâmetros'!$C$10&gt;=E68,G68,0),G68*MEDIAN(0,1,('Parâmetros'!$C$10-D68)/(E68-D68)))</f>
        <v>0</v>
      </c>
      <c r="M68" s="69">
        <f t="shared" ref="M68:M69" si="25">IF(ISNUMBER(SEARCH("GP",H68)),G68/(LEN(H68)-LEN(SUBSTITUTE(H68,"+",""))+1),0)</f>
        <v>0</v>
      </c>
      <c r="N68" s="69">
        <f t="shared" ref="N68:N69" si="26">IF(ISNUMBER(SEARCH("PM",H68)),G68/(LEN(H68)-LEN(SUBSTITUTE(H68,"+",""))+1),0)</f>
        <v>0</v>
      </c>
      <c r="O68" s="69">
        <f t="shared" ref="O68:O69" si="27">IF(ISNUMBER(SEARCH("Dev #1",H68)),G68/(LEN(H68)-LEN(SUBSTITUTE(H68,"+",""))+1),0)</f>
        <v>0</v>
      </c>
      <c r="P68" s="69">
        <f t="shared" ref="P68:P69" si="28">IF(ISNUMBER(SEARCH("Dev #2",H68)),G68/(LEN(H68)-LEN(SUBSTITUTE(H68,"+",""))+1),0)</f>
        <v>10</v>
      </c>
      <c r="Q68" s="69">
        <f t="shared" ref="Q68:Q69" si="29">IF(ISNUMBER(SEARCH("Dev #3",H68)),G68/(LEN(H68)-LEN(SUBSTITUTE(H68,"+",""))+1),0)</f>
        <v>0</v>
      </c>
      <c r="R68" s="69">
        <f t="shared" ref="R68:R69" si="30">IF(ISNUMBER(SEARCH("MKT",H68)),G68/(LEN(H68)-LEN(SUBSTITUTE(H68,"+",""))+1),0)</f>
        <v>0</v>
      </c>
      <c r="S68" s="70">
        <f>(M68+N68)*'Parâmetros'!$C$15+(O68+P68+Q68+R68)*'Parâmetros'!$C$16</f>
        <v>250</v>
      </c>
      <c r="T68" s="70">
        <f t="shared" si="24"/>
        <v>0</v>
      </c>
    </row>
    <row r="69" ht="15.75" customHeight="1">
      <c r="A69" s="78">
        <v>123.0</v>
      </c>
      <c r="B69" s="78" t="s">
        <v>160</v>
      </c>
      <c r="C69" s="79" t="s">
        <v>165</v>
      </c>
      <c r="D69" s="80">
        <v>46181.0</v>
      </c>
      <c r="E69" s="80">
        <v>46181.0</v>
      </c>
      <c r="F69" s="78">
        <v>1.0</v>
      </c>
      <c r="G69" s="78">
        <v>10.0</v>
      </c>
      <c r="H69" s="79" t="s">
        <v>67</v>
      </c>
      <c r="I69" s="68">
        <v>0.0</v>
      </c>
      <c r="J69" s="55" t="str">
        <f>IF(I69&gt;=1,"✅ Concluída",IF(I69&gt;0,"🔵 Em execução",IF(E69&lt;'Parâmetros'!$C$10,"🔴 Atrasada","⚪ Não iniciada")))</f>
        <v>⚪ Não iniciada</v>
      </c>
      <c r="K69" s="33">
        <f t="shared" si="17"/>
        <v>0</v>
      </c>
      <c r="L69" s="69">
        <f>IF(E69=D69,IF('Parâmetros'!$C$10&gt;=E69,G69,0),G69*MEDIAN(0,1,('Parâmetros'!$C$10-D69)/(E69-D69)))</f>
        <v>0</v>
      </c>
      <c r="M69" s="69">
        <f t="shared" si="25"/>
        <v>0</v>
      </c>
      <c r="N69" s="69">
        <f t="shared" si="26"/>
        <v>0</v>
      </c>
      <c r="O69" s="69">
        <f t="shared" si="27"/>
        <v>0</v>
      </c>
      <c r="P69" s="69">
        <f t="shared" si="28"/>
        <v>10</v>
      </c>
      <c r="Q69" s="69">
        <f t="shared" si="29"/>
        <v>0</v>
      </c>
      <c r="R69" s="69">
        <f t="shared" si="30"/>
        <v>0</v>
      </c>
      <c r="S69" s="70">
        <f>(M69+N69)*'Parâmetros'!$C$15+(O69+P69+Q69+R69)*'Parâmetros'!$C$16</f>
        <v>250</v>
      </c>
      <c r="T69" s="70">
        <f t="shared" si="24"/>
        <v>0</v>
      </c>
    </row>
    <row r="70" ht="15.75" customHeight="1">
      <c r="A70" s="64" t="s">
        <v>166</v>
      </c>
      <c r="B70" s="2"/>
      <c r="C70" s="2"/>
      <c r="D70" s="2"/>
      <c r="E70" s="2"/>
      <c r="F70" s="2"/>
      <c r="G70" s="2"/>
      <c r="H70" s="2"/>
      <c r="I70" s="2"/>
      <c r="J70" s="2"/>
      <c r="K70" s="3"/>
    </row>
    <row r="71" ht="15.75" customHeight="1">
      <c r="A71" s="65">
        <v>81.0</v>
      </c>
      <c r="B71" s="65" t="s">
        <v>167</v>
      </c>
      <c r="C71" s="66" t="s">
        <v>168</v>
      </c>
      <c r="D71" s="67">
        <v>46181.0</v>
      </c>
      <c r="E71" s="67">
        <v>46181.0</v>
      </c>
      <c r="F71" s="65">
        <v>2.0</v>
      </c>
      <c r="G71" s="65">
        <v>40.0</v>
      </c>
      <c r="H71" s="82" t="s">
        <v>169</v>
      </c>
      <c r="I71" s="68">
        <v>0.0</v>
      </c>
      <c r="J71" s="55" t="str">
        <f>IF(I71&gt;=1,"✅ Concluída",IF(I71&gt;0,"🔵 Em execução",IF(E71&lt;'Parâmetros'!$C$10,"🔴 Atrasada","⚪ Não iniciada")))</f>
        <v>⚪ Não iniciada</v>
      </c>
      <c r="K71" s="33">
        <f t="shared" ref="K71:K83" si="31">G71*I71</f>
        <v>0</v>
      </c>
      <c r="L71" s="69">
        <f>IF(E71=D71,IF('Parâmetros'!$C$10&gt;=E71,G71,0),G71*MEDIAN(0,1,('Parâmetros'!$C$10-D71)/(E71-D71)))</f>
        <v>0</v>
      </c>
      <c r="M71" s="69">
        <f t="shared" ref="M71:M83" si="32">IF(ISNUMBER(SEARCH("GP",H71)),G71/(LEN(H71)-LEN(SUBSTITUTE(H71,"+",""))+1),0)</f>
        <v>0</v>
      </c>
      <c r="N71" s="69">
        <f t="shared" ref="N71:N83" si="33">IF(ISNUMBER(SEARCH("PM",H71)),G71/(LEN(H71)-LEN(SUBSTITUTE(H71,"+",""))+1),0)</f>
        <v>0</v>
      </c>
      <c r="O71" s="69">
        <f t="shared" ref="O71:O83" si="34">IF(ISNUMBER(SEARCH("Dev #1",H71)),G71/(LEN(H71)-LEN(SUBSTITUTE(H71,"+",""))+1),0)</f>
        <v>20</v>
      </c>
      <c r="P71" s="69">
        <f t="shared" ref="P71:P83" si="35">IF(ISNUMBER(SEARCH("Dev #2",H71)),G71/(LEN(H71)-LEN(SUBSTITUTE(H71,"+",""))+1),0)</f>
        <v>20</v>
      </c>
      <c r="Q71" s="69">
        <f t="shared" ref="Q71:Q83" si="36">IF(ISNUMBER(SEARCH("Dev #3",H71)),G71/(LEN(H71)-LEN(SUBSTITUTE(H71,"+",""))+1),0)</f>
        <v>0</v>
      </c>
      <c r="R71" s="69">
        <f t="shared" ref="R71:R83" si="37">IF(ISNUMBER(SEARCH("MKT",H71)),G71/(LEN(H71)-LEN(SUBSTITUTE(H71,"+",""))+1),0)</f>
        <v>0</v>
      </c>
      <c r="S71" s="70">
        <f>(M71+N71)*'Parâmetros'!$C$15+(O71+P71+Q71+R71)*'Parâmetros'!$C$16</f>
        <v>1000</v>
      </c>
      <c r="T71" s="70">
        <f t="shared" ref="T71:T83" si="38">S71*I71</f>
        <v>0</v>
      </c>
    </row>
    <row r="72" ht="15.75" customHeight="1">
      <c r="A72" s="65">
        <v>82.0</v>
      </c>
      <c r="B72" s="65" t="s">
        <v>167</v>
      </c>
      <c r="C72" s="66" t="s">
        <v>170</v>
      </c>
      <c r="D72" s="67">
        <v>46182.0</v>
      </c>
      <c r="E72" s="67">
        <v>46182.0</v>
      </c>
      <c r="F72" s="65">
        <v>2.0</v>
      </c>
      <c r="G72" s="65">
        <v>16.0</v>
      </c>
      <c r="H72" s="66" t="s">
        <v>67</v>
      </c>
      <c r="I72" s="68">
        <v>0.0</v>
      </c>
      <c r="J72" s="55" t="str">
        <f>IF(I72&gt;=1,"✅ Concluída",IF(I72&gt;0,"🔵 Em execução",IF(E72&lt;'Parâmetros'!$C$10,"🔴 Atrasada","⚪ Não iniciada")))</f>
        <v>⚪ Não iniciada</v>
      </c>
      <c r="K72" s="33">
        <f t="shared" si="31"/>
        <v>0</v>
      </c>
      <c r="L72" s="69">
        <f>IF(E72=D72,IF('Parâmetros'!$C$10&gt;=E72,G72,0),G72*MEDIAN(0,1,('Parâmetros'!$C$10-D72)/(E72-D72)))</f>
        <v>0</v>
      </c>
      <c r="M72" s="69">
        <f t="shared" si="32"/>
        <v>0</v>
      </c>
      <c r="N72" s="69">
        <f t="shared" si="33"/>
        <v>0</v>
      </c>
      <c r="O72" s="69">
        <f t="shared" si="34"/>
        <v>0</v>
      </c>
      <c r="P72" s="69">
        <f t="shared" si="35"/>
        <v>16</v>
      </c>
      <c r="Q72" s="69">
        <f t="shared" si="36"/>
        <v>0</v>
      </c>
      <c r="R72" s="69">
        <f t="shared" si="37"/>
        <v>0</v>
      </c>
      <c r="S72" s="70">
        <f>(M72+N72)*'Parâmetros'!$C$15+(O72+P72+Q72+R72)*'Parâmetros'!$C$16</f>
        <v>400</v>
      </c>
      <c r="T72" s="70">
        <f t="shared" si="38"/>
        <v>0</v>
      </c>
    </row>
    <row r="73" ht="15.75" customHeight="1">
      <c r="A73" s="65">
        <v>83.0</v>
      </c>
      <c r="B73" s="65" t="s">
        <v>167</v>
      </c>
      <c r="C73" s="66" t="s">
        <v>171</v>
      </c>
      <c r="D73" s="67">
        <v>46182.0</v>
      </c>
      <c r="E73" s="67">
        <v>46182.0</v>
      </c>
      <c r="F73" s="65">
        <v>2.0</v>
      </c>
      <c r="G73" s="65">
        <v>16.0</v>
      </c>
      <c r="H73" s="66" t="s">
        <v>66</v>
      </c>
      <c r="I73" s="68">
        <v>0.0</v>
      </c>
      <c r="J73" s="55" t="str">
        <f>IF(I73&gt;=1,"✅ Concluída",IF(I73&gt;0,"🔵 Em execução",IF(E73&lt;'Parâmetros'!$C$10,"🔴 Atrasada","⚪ Não iniciada")))</f>
        <v>⚪ Não iniciada</v>
      </c>
      <c r="K73" s="33">
        <f t="shared" si="31"/>
        <v>0</v>
      </c>
      <c r="L73" s="69">
        <f>IF(E73=D73,IF('Parâmetros'!$C$10&gt;=E73,G73,0),G73*MEDIAN(0,1,('Parâmetros'!$C$10-D73)/(E73-D73)))</f>
        <v>0</v>
      </c>
      <c r="M73" s="69">
        <f t="shared" si="32"/>
        <v>0</v>
      </c>
      <c r="N73" s="69">
        <f t="shared" si="33"/>
        <v>0</v>
      </c>
      <c r="O73" s="69">
        <f t="shared" si="34"/>
        <v>16</v>
      </c>
      <c r="P73" s="69">
        <f t="shared" si="35"/>
        <v>0</v>
      </c>
      <c r="Q73" s="69">
        <f t="shared" si="36"/>
        <v>0</v>
      </c>
      <c r="R73" s="69">
        <f t="shared" si="37"/>
        <v>0</v>
      </c>
      <c r="S73" s="70">
        <f>(M73+N73)*'Parâmetros'!$C$15+(O73+P73+Q73+R73)*'Parâmetros'!$C$16</f>
        <v>400</v>
      </c>
      <c r="T73" s="70">
        <f t="shared" si="38"/>
        <v>0</v>
      </c>
    </row>
    <row r="74" ht="15.75" customHeight="1">
      <c r="A74" s="65">
        <v>85.0</v>
      </c>
      <c r="B74" s="65" t="s">
        <v>172</v>
      </c>
      <c r="C74" s="66" t="s">
        <v>173</v>
      </c>
      <c r="D74" s="67">
        <v>46183.0</v>
      </c>
      <c r="E74" s="67">
        <v>46183.0</v>
      </c>
      <c r="F74" s="65">
        <v>2.0</v>
      </c>
      <c r="G74" s="65">
        <v>4.0</v>
      </c>
      <c r="H74" s="66" t="s">
        <v>43</v>
      </c>
      <c r="I74" s="68">
        <v>0.0</v>
      </c>
      <c r="J74" s="55" t="str">
        <f>IF(I74&gt;=1,"✅ Concluída",IF(I74&gt;0,"🔵 Em execução",IF(E74&lt;'Parâmetros'!$C$10,"🔴 Atrasada","⚪ Não iniciada")))</f>
        <v>⚪ Não iniciada</v>
      </c>
      <c r="K74" s="33">
        <f t="shared" si="31"/>
        <v>0</v>
      </c>
      <c r="L74" s="69">
        <f>IF(E74=D74,IF('Parâmetros'!$C$10&gt;=E74,G74,0),G74*MEDIAN(0,1,('Parâmetros'!$C$10-D74)/(E74-D74)))</f>
        <v>0</v>
      </c>
      <c r="M74" s="69">
        <f t="shared" si="32"/>
        <v>4</v>
      </c>
      <c r="N74" s="69">
        <f t="shared" si="33"/>
        <v>0</v>
      </c>
      <c r="O74" s="69">
        <f t="shared" si="34"/>
        <v>0</v>
      </c>
      <c r="P74" s="69">
        <f t="shared" si="35"/>
        <v>0</v>
      </c>
      <c r="Q74" s="69">
        <f t="shared" si="36"/>
        <v>0</v>
      </c>
      <c r="R74" s="69">
        <f t="shared" si="37"/>
        <v>0</v>
      </c>
      <c r="S74" s="70">
        <f>(M74+N74)*'Parâmetros'!$C$15+(O74+P74+Q74+R74)*'Parâmetros'!$C$16</f>
        <v>120</v>
      </c>
      <c r="T74" s="70">
        <f t="shared" si="38"/>
        <v>0</v>
      </c>
    </row>
    <row r="75" ht="15.75" customHeight="1">
      <c r="A75" s="65">
        <v>86.0</v>
      </c>
      <c r="B75" s="65" t="s">
        <v>172</v>
      </c>
      <c r="C75" s="66" t="s">
        <v>174</v>
      </c>
      <c r="D75" s="67">
        <v>46184.0</v>
      </c>
      <c r="E75" s="67">
        <v>46184.0</v>
      </c>
      <c r="F75" s="65">
        <v>1.0</v>
      </c>
      <c r="G75" s="65">
        <v>28.0</v>
      </c>
      <c r="H75" s="82" t="s">
        <v>175</v>
      </c>
      <c r="I75" s="68">
        <v>0.0</v>
      </c>
      <c r="J75" s="55" t="str">
        <f>IF(I75&gt;=1,"✅ Concluída",IF(I75&gt;0,"🔵 Em execução",IF(E75&lt;'Parâmetros'!$C$10,"🔴 Atrasada","⚪ Não iniciada")))</f>
        <v>⚪ Não iniciada</v>
      </c>
      <c r="K75" s="33">
        <f t="shared" si="31"/>
        <v>0</v>
      </c>
      <c r="L75" s="69">
        <f>IF(E75=D75,IF('Parâmetros'!$C$10&gt;=E75,G75,0),G75*MEDIAN(0,1,('Parâmetros'!$C$10-D75)/(E75-D75)))</f>
        <v>0</v>
      </c>
      <c r="M75" s="69">
        <f t="shared" si="32"/>
        <v>9.333333333</v>
      </c>
      <c r="N75" s="69">
        <f t="shared" si="33"/>
        <v>0</v>
      </c>
      <c r="O75" s="69">
        <f t="shared" si="34"/>
        <v>9.333333333</v>
      </c>
      <c r="P75" s="69">
        <f t="shared" si="35"/>
        <v>9.333333333</v>
      </c>
      <c r="Q75" s="69">
        <f t="shared" si="36"/>
        <v>0</v>
      </c>
      <c r="R75" s="69">
        <f t="shared" si="37"/>
        <v>0</v>
      </c>
      <c r="S75" s="70">
        <f>(M75+N75)*'Parâmetros'!$C$15+(O75+P75+Q75+R75)*'Parâmetros'!$C$16</f>
        <v>746.6666667</v>
      </c>
      <c r="T75" s="70">
        <f t="shared" si="38"/>
        <v>0</v>
      </c>
    </row>
    <row r="76" ht="15.75" customHeight="1">
      <c r="A76" s="65">
        <v>87.0</v>
      </c>
      <c r="B76" s="65" t="s">
        <v>172</v>
      </c>
      <c r="C76" s="66" t="s">
        <v>176</v>
      </c>
      <c r="D76" s="67">
        <v>46185.0</v>
      </c>
      <c r="E76" s="67">
        <v>46185.0</v>
      </c>
      <c r="F76" s="65">
        <v>2.0</v>
      </c>
      <c r="G76" s="65">
        <v>4.0</v>
      </c>
      <c r="H76" s="66" t="s">
        <v>43</v>
      </c>
      <c r="I76" s="68">
        <v>0.0</v>
      </c>
      <c r="J76" s="55" t="str">
        <f>IF(I76&gt;=1,"✅ Concluída",IF(I76&gt;0,"🔵 Em execução",IF(E76&lt;'Parâmetros'!$C$10,"🔴 Atrasada","⚪ Não iniciada")))</f>
        <v>⚪ Não iniciada</v>
      </c>
      <c r="K76" s="33">
        <f t="shared" si="31"/>
        <v>0</v>
      </c>
      <c r="L76" s="69">
        <f>IF(E76=D76,IF('Parâmetros'!$C$10&gt;=E76,G76,0),G76*MEDIAN(0,1,('Parâmetros'!$C$10-D76)/(E76-D76)))</f>
        <v>0</v>
      </c>
      <c r="M76" s="69">
        <f t="shared" si="32"/>
        <v>4</v>
      </c>
      <c r="N76" s="69">
        <f t="shared" si="33"/>
        <v>0</v>
      </c>
      <c r="O76" s="69">
        <f t="shared" si="34"/>
        <v>0</v>
      </c>
      <c r="P76" s="69">
        <f t="shared" si="35"/>
        <v>0</v>
      </c>
      <c r="Q76" s="69">
        <f t="shared" si="36"/>
        <v>0</v>
      </c>
      <c r="R76" s="69">
        <f t="shared" si="37"/>
        <v>0</v>
      </c>
      <c r="S76" s="70">
        <f>(M76+N76)*'Parâmetros'!$C$15+(O76+P76+Q76+R76)*'Parâmetros'!$C$16</f>
        <v>120</v>
      </c>
      <c r="T76" s="70">
        <f t="shared" si="38"/>
        <v>0</v>
      </c>
    </row>
    <row r="77" ht="15.75" customHeight="1">
      <c r="A77" s="65">
        <v>89.0</v>
      </c>
      <c r="B77" s="65" t="s">
        <v>177</v>
      </c>
      <c r="C77" s="66" t="s">
        <v>178</v>
      </c>
      <c r="D77" s="67">
        <v>46188.0</v>
      </c>
      <c r="E77" s="67">
        <v>46190.0</v>
      </c>
      <c r="F77" s="65">
        <v>4.0</v>
      </c>
      <c r="G77" s="65">
        <v>8.0</v>
      </c>
      <c r="H77" s="66" t="s">
        <v>43</v>
      </c>
      <c r="I77" s="68">
        <v>0.0</v>
      </c>
      <c r="J77" s="55" t="str">
        <f>IF(I77&gt;=1,"✅ Concluída",IF(I77&gt;0,"🔵 Em execução",IF(E77&lt;'Parâmetros'!$C$10,"🔴 Atrasada","⚪ Não iniciada")))</f>
        <v>⚪ Não iniciada</v>
      </c>
      <c r="K77" s="33">
        <f t="shared" si="31"/>
        <v>0</v>
      </c>
      <c r="L77" s="69">
        <f>IF(E77=D77,IF('Parâmetros'!$C$10&gt;=E77,G77,0),G77*MEDIAN(0,1,('Parâmetros'!$C$10-D77)/(E77-D77)))</f>
        <v>0</v>
      </c>
      <c r="M77" s="69">
        <f t="shared" si="32"/>
        <v>8</v>
      </c>
      <c r="N77" s="69">
        <f t="shared" si="33"/>
        <v>0</v>
      </c>
      <c r="O77" s="69">
        <f t="shared" si="34"/>
        <v>0</v>
      </c>
      <c r="P77" s="69">
        <f t="shared" si="35"/>
        <v>0</v>
      </c>
      <c r="Q77" s="69">
        <f t="shared" si="36"/>
        <v>0</v>
      </c>
      <c r="R77" s="69">
        <f t="shared" si="37"/>
        <v>0</v>
      </c>
      <c r="S77" s="70">
        <f>(M77+N77)*'Parâmetros'!$C$15+(O77+P77+Q77+R77)*'Parâmetros'!$C$16</f>
        <v>240</v>
      </c>
      <c r="T77" s="70">
        <f t="shared" si="38"/>
        <v>0</v>
      </c>
    </row>
    <row r="78" ht="15.75" customHeight="1">
      <c r="A78" s="65">
        <v>90.0</v>
      </c>
      <c r="B78" s="65" t="s">
        <v>177</v>
      </c>
      <c r="C78" s="66" t="s">
        <v>179</v>
      </c>
      <c r="D78" s="67">
        <v>46191.0</v>
      </c>
      <c r="E78" s="67">
        <v>46193.0</v>
      </c>
      <c r="F78" s="65">
        <v>4.0</v>
      </c>
      <c r="G78" s="65">
        <v>8.0</v>
      </c>
      <c r="H78" s="66" t="s">
        <v>43</v>
      </c>
      <c r="I78" s="68">
        <v>0.0</v>
      </c>
      <c r="J78" s="55" t="str">
        <f>IF(I78&gt;=1,"✅ Concluída",IF(I78&gt;0,"🔵 Em execução",IF(E78&lt;'Parâmetros'!$C$10,"🔴 Atrasada","⚪ Não iniciada")))</f>
        <v>⚪ Não iniciada</v>
      </c>
      <c r="K78" s="33">
        <f t="shared" si="31"/>
        <v>0</v>
      </c>
      <c r="L78" s="69">
        <f>IF(E78=D78,IF('Parâmetros'!$C$10&gt;=E78,G78,0),G78*MEDIAN(0,1,('Parâmetros'!$C$10-D78)/(E78-D78)))</f>
        <v>0</v>
      </c>
      <c r="M78" s="69">
        <f t="shared" si="32"/>
        <v>8</v>
      </c>
      <c r="N78" s="69">
        <f t="shared" si="33"/>
        <v>0</v>
      </c>
      <c r="O78" s="69">
        <f t="shared" si="34"/>
        <v>0</v>
      </c>
      <c r="P78" s="69">
        <f t="shared" si="35"/>
        <v>0</v>
      </c>
      <c r="Q78" s="69">
        <f t="shared" si="36"/>
        <v>0</v>
      </c>
      <c r="R78" s="69">
        <f t="shared" si="37"/>
        <v>0</v>
      </c>
      <c r="S78" s="70">
        <f>(M78+N78)*'Parâmetros'!$C$15+(O78+P78+Q78+R78)*'Parâmetros'!$C$16</f>
        <v>240</v>
      </c>
      <c r="T78" s="70">
        <f t="shared" si="38"/>
        <v>0</v>
      </c>
    </row>
    <row r="79" ht="15.75" customHeight="1">
      <c r="A79" s="65">
        <v>93.0</v>
      </c>
      <c r="B79" s="65" t="s">
        <v>180</v>
      </c>
      <c r="C79" s="66" t="s">
        <v>181</v>
      </c>
      <c r="D79" s="67">
        <v>46190.0</v>
      </c>
      <c r="E79" s="67">
        <v>46190.0</v>
      </c>
      <c r="F79" s="65">
        <v>2.0</v>
      </c>
      <c r="G79" s="65">
        <v>14.0</v>
      </c>
      <c r="H79" s="82" t="s">
        <v>66</v>
      </c>
      <c r="I79" s="68">
        <v>0.0</v>
      </c>
      <c r="J79" s="55" t="str">
        <f>IF(I79&gt;=1,"✅ Concluída",IF(I79&gt;0,"🔵 Em execução",IF(E79&lt;'Parâmetros'!$C$10,"🔴 Atrasada","⚪ Não iniciada")))</f>
        <v>⚪ Não iniciada</v>
      </c>
      <c r="K79" s="33">
        <f t="shared" si="31"/>
        <v>0</v>
      </c>
      <c r="L79" s="69">
        <f>IF(E79=D79,IF('Parâmetros'!$C$10&gt;=E79,G79,0),G79*MEDIAN(0,1,('Parâmetros'!$C$10-D79)/(E79-D79)))</f>
        <v>0</v>
      </c>
      <c r="M79" s="69">
        <f t="shared" si="32"/>
        <v>0</v>
      </c>
      <c r="N79" s="69">
        <f t="shared" si="33"/>
        <v>0</v>
      </c>
      <c r="O79" s="69">
        <f t="shared" si="34"/>
        <v>14</v>
      </c>
      <c r="P79" s="69">
        <f t="shared" si="35"/>
        <v>0</v>
      </c>
      <c r="Q79" s="69">
        <f t="shared" si="36"/>
        <v>0</v>
      </c>
      <c r="R79" s="69">
        <f t="shared" si="37"/>
        <v>0</v>
      </c>
      <c r="S79" s="70">
        <f>(M79+N79)*'Parâmetros'!$C$15+(O79+P79+Q79+R79)*'Parâmetros'!$C$16</f>
        <v>350</v>
      </c>
      <c r="T79" s="70">
        <f t="shared" si="38"/>
        <v>0</v>
      </c>
    </row>
    <row r="80" ht="15.75" customHeight="1">
      <c r="A80" s="65">
        <v>94.0</v>
      </c>
      <c r="B80" s="65" t="s">
        <v>180</v>
      </c>
      <c r="C80" s="66" t="s">
        <v>182</v>
      </c>
      <c r="D80" s="67">
        <v>46196.0</v>
      </c>
      <c r="E80" s="67">
        <v>46196.0</v>
      </c>
      <c r="F80" s="65">
        <v>2.0</v>
      </c>
      <c r="G80" s="65">
        <v>14.0</v>
      </c>
      <c r="H80" s="82" t="s">
        <v>66</v>
      </c>
      <c r="I80" s="68">
        <v>0.0</v>
      </c>
      <c r="J80" s="55" t="str">
        <f>IF(I80&gt;=1,"✅ Concluída",IF(I80&gt;0,"🔵 Em execução",IF(E80&lt;'Parâmetros'!$C$10,"🔴 Atrasada","⚪ Não iniciada")))</f>
        <v>⚪ Não iniciada</v>
      </c>
      <c r="K80" s="33">
        <f t="shared" si="31"/>
        <v>0</v>
      </c>
      <c r="L80" s="69">
        <f>IF(E80=D80,IF('Parâmetros'!$C$10&gt;=E80,G80,0),G80*MEDIAN(0,1,('Parâmetros'!$C$10-D80)/(E80-D80)))</f>
        <v>0</v>
      </c>
      <c r="M80" s="69">
        <f t="shared" si="32"/>
        <v>0</v>
      </c>
      <c r="N80" s="69">
        <f t="shared" si="33"/>
        <v>0</v>
      </c>
      <c r="O80" s="69">
        <f t="shared" si="34"/>
        <v>14</v>
      </c>
      <c r="P80" s="69">
        <f t="shared" si="35"/>
        <v>0</v>
      </c>
      <c r="Q80" s="69">
        <f t="shared" si="36"/>
        <v>0</v>
      </c>
      <c r="R80" s="69">
        <f t="shared" si="37"/>
        <v>0</v>
      </c>
      <c r="S80" s="70">
        <f>(M80+N80)*'Parâmetros'!$C$15+(O80+P80+Q80+R80)*'Parâmetros'!$C$16</f>
        <v>350</v>
      </c>
      <c r="T80" s="70">
        <f t="shared" si="38"/>
        <v>0</v>
      </c>
    </row>
    <row r="81" ht="15.75" customHeight="1">
      <c r="A81" s="65">
        <v>96.0</v>
      </c>
      <c r="B81" s="65" t="s">
        <v>183</v>
      </c>
      <c r="C81" s="66" t="s">
        <v>184</v>
      </c>
      <c r="D81" s="67">
        <v>46191.0</v>
      </c>
      <c r="E81" s="67">
        <v>46191.0</v>
      </c>
      <c r="F81" s="65">
        <v>2.0</v>
      </c>
      <c r="G81" s="65">
        <v>20.0</v>
      </c>
      <c r="H81" s="82" t="s">
        <v>185</v>
      </c>
      <c r="I81" s="68">
        <v>0.0</v>
      </c>
      <c r="J81" s="55" t="str">
        <f>IF(I81&gt;=1,"✅ Concluída",IF(I81&gt;0,"🔵 Em execução",IF(E81&lt;'Parâmetros'!$C$10,"🔴 Atrasada","⚪ Não iniciada")))</f>
        <v>⚪ Não iniciada</v>
      </c>
      <c r="K81" s="33">
        <f t="shared" si="31"/>
        <v>0</v>
      </c>
      <c r="L81" s="69">
        <f>IF(E81=D81,IF('Parâmetros'!$C$10&gt;=E81,G81,0),G81*MEDIAN(0,1,('Parâmetros'!$C$10-D81)/(E81-D81)))</f>
        <v>0</v>
      </c>
      <c r="M81" s="69">
        <f t="shared" si="32"/>
        <v>0</v>
      </c>
      <c r="N81" s="69">
        <f t="shared" si="33"/>
        <v>10</v>
      </c>
      <c r="O81" s="69">
        <f t="shared" si="34"/>
        <v>10</v>
      </c>
      <c r="P81" s="69">
        <f t="shared" si="35"/>
        <v>0</v>
      </c>
      <c r="Q81" s="69">
        <f t="shared" si="36"/>
        <v>0</v>
      </c>
      <c r="R81" s="69">
        <f t="shared" si="37"/>
        <v>0</v>
      </c>
      <c r="S81" s="70">
        <f>(M81+N81)*'Parâmetros'!$C$15+(O81+P81+Q81+R81)*'Parâmetros'!$C$16</f>
        <v>550</v>
      </c>
      <c r="T81" s="70">
        <f t="shared" si="38"/>
        <v>0</v>
      </c>
    </row>
    <row r="82" ht="15.75" customHeight="1">
      <c r="A82" s="65">
        <v>97.0</v>
      </c>
      <c r="B82" s="65" t="s">
        <v>183</v>
      </c>
      <c r="C82" s="66" t="s">
        <v>186</v>
      </c>
      <c r="D82" s="67">
        <v>46192.0</v>
      </c>
      <c r="E82" s="67">
        <v>46192.0</v>
      </c>
      <c r="F82" s="65">
        <v>2.0</v>
      </c>
      <c r="G82" s="65">
        <v>20.0</v>
      </c>
      <c r="H82" s="82" t="s">
        <v>66</v>
      </c>
      <c r="I82" s="68">
        <v>0.0</v>
      </c>
      <c r="J82" s="55" t="str">
        <f>IF(I82&gt;=1,"✅ Concluída",IF(I82&gt;0,"🔵 Em execução",IF(E82&lt;'Parâmetros'!$C$10,"🔴 Atrasada","⚪ Não iniciada")))</f>
        <v>⚪ Não iniciada</v>
      </c>
      <c r="K82" s="33">
        <f t="shared" si="31"/>
        <v>0</v>
      </c>
      <c r="L82" s="69">
        <f>IF(E82=D82,IF('Parâmetros'!$C$10&gt;=E82,G82,0),G82*MEDIAN(0,1,('Parâmetros'!$C$10-D82)/(E82-D82)))</f>
        <v>0</v>
      </c>
      <c r="M82" s="69">
        <f t="shared" si="32"/>
        <v>0</v>
      </c>
      <c r="N82" s="69">
        <f t="shared" si="33"/>
        <v>0</v>
      </c>
      <c r="O82" s="69">
        <f t="shared" si="34"/>
        <v>20</v>
      </c>
      <c r="P82" s="69">
        <f t="shared" si="35"/>
        <v>0</v>
      </c>
      <c r="Q82" s="69">
        <f t="shared" si="36"/>
        <v>0</v>
      </c>
      <c r="R82" s="69">
        <f t="shared" si="37"/>
        <v>0</v>
      </c>
      <c r="S82" s="70">
        <f>(M82+N82)*'Parâmetros'!$C$15+(O82+P82+Q82+R82)*'Parâmetros'!$C$16</f>
        <v>500</v>
      </c>
      <c r="T82" s="70">
        <f t="shared" si="38"/>
        <v>0</v>
      </c>
    </row>
    <row r="83" ht="15.75" customHeight="1">
      <c r="A83" s="65">
        <v>98.0</v>
      </c>
      <c r="B83" s="65" t="s">
        <v>183</v>
      </c>
      <c r="C83" s="66" t="s">
        <v>187</v>
      </c>
      <c r="D83" s="67">
        <v>46193.0</v>
      </c>
      <c r="E83" s="67">
        <v>46193.0</v>
      </c>
      <c r="F83" s="65">
        <v>2.0</v>
      </c>
      <c r="G83" s="65">
        <v>14.0</v>
      </c>
      <c r="H83" s="82" t="s">
        <v>185</v>
      </c>
      <c r="I83" s="68">
        <v>0.0</v>
      </c>
      <c r="J83" s="55" t="str">
        <f>IF(I83&gt;=1,"✅ Concluída",IF(I83&gt;0,"🔵 Em execução",IF(E83&lt;'Parâmetros'!$C$10,"🔴 Atrasada","⚪ Não iniciada")))</f>
        <v>⚪ Não iniciada</v>
      </c>
      <c r="K83" s="33">
        <f t="shared" si="31"/>
        <v>0</v>
      </c>
      <c r="L83" s="69">
        <f>IF(E83=D83,IF('Parâmetros'!$C$10&gt;=E83,G83,0),G83*MEDIAN(0,1,('Parâmetros'!$C$10-D83)/(E83-D83)))</f>
        <v>0</v>
      </c>
      <c r="M83" s="69">
        <f t="shared" si="32"/>
        <v>0</v>
      </c>
      <c r="N83" s="69">
        <f t="shared" si="33"/>
        <v>7</v>
      </c>
      <c r="O83" s="69">
        <f t="shared" si="34"/>
        <v>7</v>
      </c>
      <c r="P83" s="69">
        <f t="shared" si="35"/>
        <v>0</v>
      </c>
      <c r="Q83" s="69">
        <f t="shared" si="36"/>
        <v>0</v>
      </c>
      <c r="R83" s="69">
        <f t="shared" si="37"/>
        <v>0</v>
      </c>
      <c r="S83" s="70">
        <f>(M83+N83)*'Parâmetros'!$C$15+(O83+P83+Q83+R83)*'Parâmetros'!$C$16</f>
        <v>385</v>
      </c>
      <c r="T83" s="70">
        <f t="shared" si="38"/>
        <v>0</v>
      </c>
    </row>
    <row r="84" ht="15.75" customHeight="1">
      <c r="A84" s="64" t="s">
        <v>188</v>
      </c>
      <c r="B84" s="2"/>
      <c r="C84" s="2"/>
      <c r="D84" s="2"/>
      <c r="E84" s="2"/>
      <c r="F84" s="2"/>
      <c r="G84" s="2"/>
      <c r="H84" s="2"/>
      <c r="I84" s="2"/>
      <c r="J84" s="2"/>
      <c r="K84" s="3"/>
    </row>
    <row r="85" ht="15.75" customHeight="1">
      <c r="A85" s="65">
        <v>101.0</v>
      </c>
      <c r="B85" s="65" t="s">
        <v>189</v>
      </c>
      <c r="C85" s="66" t="s">
        <v>190</v>
      </c>
      <c r="D85" s="67">
        <v>46196.0</v>
      </c>
      <c r="E85" s="67">
        <v>46196.0</v>
      </c>
      <c r="F85" s="65">
        <v>1.0</v>
      </c>
      <c r="G85" s="65">
        <v>8.0</v>
      </c>
      <c r="H85" s="66" t="s">
        <v>191</v>
      </c>
      <c r="I85" s="68">
        <v>0.0</v>
      </c>
      <c r="J85" s="55" t="str">
        <f>IF(I85&gt;=1,"✅ Concluída",IF(I85&gt;0,"🔵 Em execução",IF(E85&lt;'Parâmetros'!$C$10,"🔴 Atrasada","⚪ Não iniciada")))</f>
        <v>⚪ Não iniciada</v>
      </c>
      <c r="K85" s="33">
        <f t="shared" ref="K85:K97" si="39">G85*I85</f>
        <v>0</v>
      </c>
      <c r="L85" s="69">
        <f>IF(E85=D85,IF('Parâmetros'!$C$10&gt;=E85,G85,0),G85*MEDIAN(0,1,('Parâmetros'!$C$10-D85)/(E85-D85)))</f>
        <v>0</v>
      </c>
      <c r="M85" s="69">
        <f t="shared" ref="M85:M97" si="40">IF(ISNUMBER(SEARCH("GP",H85)),G85/(LEN(H85)-LEN(SUBSTITUTE(H85,"+",""))+1),0)</f>
        <v>0</v>
      </c>
      <c r="N85" s="69">
        <f t="shared" ref="N85:N97" si="41">IF(ISNUMBER(SEARCH("PM",H85)),G85/(LEN(H85)-LEN(SUBSTITUTE(H85,"+",""))+1),0)</f>
        <v>0</v>
      </c>
      <c r="O85" s="69">
        <f t="shared" ref="O85:O97" si="42">IF(ISNUMBER(SEARCH("Dev #1",H85)),G85/(LEN(H85)-LEN(SUBSTITUTE(H85,"+",""))+1),0)</f>
        <v>4</v>
      </c>
      <c r="P85" s="69">
        <f t="shared" ref="P85:P97" si="43">IF(ISNUMBER(SEARCH("Dev #2",H85)),G85/(LEN(H85)-LEN(SUBSTITUTE(H85,"+",""))+1),0)</f>
        <v>0</v>
      </c>
      <c r="Q85" s="69">
        <f t="shared" ref="Q85:Q97" si="44">IF(ISNUMBER(SEARCH("Dev #3",H85)),G85/(LEN(H85)-LEN(SUBSTITUTE(H85,"+",""))+1),0)</f>
        <v>0</v>
      </c>
      <c r="R85" s="69">
        <f t="shared" ref="R85:R97" si="45">IF(ISNUMBER(SEARCH("MKT",H85)),G85/(LEN(H85)-LEN(SUBSTITUTE(H85,"+",""))+1),0)</f>
        <v>4</v>
      </c>
      <c r="S85" s="70">
        <f>(M85+N85)*'Parâmetros'!$C$15+(O85+P85+Q85+R85)*'Parâmetros'!$C$16</f>
        <v>200</v>
      </c>
      <c r="T85" s="70">
        <f t="shared" ref="T85:T97" si="46">S85*I85</f>
        <v>0</v>
      </c>
    </row>
    <row r="86" ht="15.75" customHeight="1">
      <c r="A86" s="65">
        <v>102.0</v>
      </c>
      <c r="B86" s="65" t="s">
        <v>189</v>
      </c>
      <c r="C86" s="66" t="s">
        <v>192</v>
      </c>
      <c r="D86" s="67">
        <v>46197.0</v>
      </c>
      <c r="E86" s="67">
        <v>46197.0</v>
      </c>
      <c r="F86" s="65">
        <v>1.0</v>
      </c>
      <c r="G86" s="65">
        <v>8.0</v>
      </c>
      <c r="H86" s="66" t="s">
        <v>66</v>
      </c>
      <c r="I86" s="68">
        <v>0.0</v>
      </c>
      <c r="J86" s="55" t="str">
        <f>IF(I86&gt;=1,"✅ Concluída",IF(I86&gt;0,"🔵 Em execução",IF(E86&lt;'Parâmetros'!$C$10,"🔴 Atrasada","⚪ Não iniciada")))</f>
        <v>⚪ Não iniciada</v>
      </c>
      <c r="K86" s="33">
        <f t="shared" si="39"/>
        <v>0</v>
      </c>
      <c r="L86" s="69">
        <f>IF(E86=D86,IF('Parâmetros'!$C$10&gt;=E86,G86,0),G86*MEDIAN(0,1,('Parâmetros'!$C$10-D86)/(E86-D86)))</f>
        <v>0</v>
      </c>
      <c r="M86" s="69">
        <f t="shared" si="40"/>
        <v>0</v>
      </c>
      <c r="N86" s="69">
        <f t="shared" si="41"/>
        <v>0</v>
      </c>
      <c r="O86" s="69">
        <f t="shared" si="42"/>
        <v>8</v>
      </c>
      <c r="P86" s="69">
        <f t="shared" si="43"/>
        <v>0</v>
      </c>
      <c r="Q86" s="69">
        <f t="shared" si="44"/>
        <v>0</v>
      </c>
      <c r="R86" s="69">
        <f t="shared" si="45"/>
        <v>0</v>
      </c>
      <c r="S86" s="70">
        <f>(M86+N86)*'Parâmetros'!$C$15+(O86+P86+Q86+R86)*'Parâmetros'!$C$16</f>
        <v>200</v>
      </c>
      <c r="T86" s="70">
        <f t="shared" si="46"/>
        <v>0</v>
      </c>
    </row>
    <row r="87" ht="15.75" customHeight="1">
      <c r="A87" s="65">
        <v>104.0</v>
      </c>
      <c r="B87" s="65" t="s">
        <v>193</v>
      </c>
      <c r="C87" s="66" t="s">
        <v>194</v>
      </c>
      <c r="D87" s="67">
        <v>46197.0</v>
      </c>
      <c r="E87" s="67">
        <v>46197.0</v>
      </c>
      <c r="F87" s="65">
        <v>1.0</v>
      </c>
      <c r="G87" s="65">
        <v>8.0</v>
      </c>
      <c r="H87" s="82" t="s">
        <v>66</v>
      </c>
      <c r="I87" s="68">
        <v>0.0</v>
      </c>
      <c r="J87" s="55" t="str">
        <f>IF(I87&gt;=1,"✅ Concluída",IF(I87&gt;0,"🔵 Em execução",IF(E87&lt;'Parâmetros'!$C$10,"🔴 Atrasada","⚪ Não iniciada")))</f>
        <v>⚪ Não iniciada</v>
      </c>
      <c r="K87" s="33">
        <f t="shared" si="39"/>
        <v>0</v>
      </c>
      <c r="L87" s="69">
        <f>IF(E87=D87,IF('Parâmetros'!$C$10&gt;=E87,G87,0),G87*MEDIAN(0,1,('Parâmetros'!$C$10-D87)/(E87-D87)))</f>
        <v>0</v>
      </c>
      <c r="M87" s="69">
        <f t="shared" si="40"/>
        <v>0</v>
      </c>
      <c r="N87" s="69">
        <f t="shared" si="41"/>
        <v>0</v>
      </c>
      <c r="O87" s="69">
        <f t="shared" si="42"/>
        <v>8</v>
      </c>
      <c r="P87" s="69">
        <f t="shared" si="43"/>
        <v>0</v>
      </c>
      <c r="Q87" s="69">
        <f t="shared" si="44"/>
        <v>0</v>
      </c>
      <c r="R87" s="69">
        <f t="shared" si="45"/>
        <v>0</v>
      </c>
      <c r="S87" s="70">
        <f>(M87+N87)*'Parâmetros'!$C$15+(O87+P87+Q87+R87)*'Parâmetros'!$C$16</f>
        <v>200</v>
      </c>
      <c r="T87" s="70">
        <f t="shared" si="46"/>
        <v>0</v>
      </c>
    </row>
    <row r="88" ht="15.75" customHeight="1">
      <c r="A88" s="65">
        <v>105.0</v>
      </c>
      <c r="B88" s="65" t="s">
        <v>193</v>
      </c>
      <c r="C88" s="66" t="s">
        <v>195</v>
      </c>
      <c r="D88" s="67">
        <v>46198.0</v>
      </c>
      <c r="E88" s="67">
        <v>46198.0</v>
      </c>
      <c r="F88" s="65">
        <v>1.0</v>
      </c>
      <c r="G88" s="65">
        <v>8.0</v>
      </c>
      <c r="H88" s="82" t="s">
        <v>66</v>
      </c>
      <c r="I88" s="68">
        <v>0.0</v>
      </c>
      <c r="J88" s="55" t="str">
        <f>IF(I88&gt;=1,"✅ Concluída",IF(I88&gt;0,"🔵 Em execução",IF(E88&lt;'Parâmetros'!$C$10,"🔴 Atrasada","⚪ Não iniciada")))</f>
        <v>⚪ Não iniciada</v>
      </c>
      <c r="K88" s="33">
        <f t="shared" si="39"/>
        <v>0</v>
      </c>
      <c r="L88" s="69">
        <f>IF(E88=D88,IF('Parâmetros'!$C$10&gt;=E88,G88,0),G88*MEDIAN(0,1,('Parâmetros'!$C$10-D88)/(E88-D88)))</f>
        <v>0</v>
      </c>
      <c r="M88" s="69">
        <f t="shared" si="40"/>
        <v>0</v>
      </c>
      <c r="N88" s="69">
        <f t="shared" si="41"/>
        <v>0</v>
      </c>
      <c r="O88" s="69">
        <f t="shared" si="42"/>
        <v>8</v>
      </c>
      <c r="P88" s="69">
        <f t="shared" si="43"/>
        <v>0</v>
      </c>
      <c r="Q88" s="69">
        <f t="shared" si="44"/>
        <v>0</v>
      </c>
      <c r="R88" s="69">
        <f t="shared" si="45"/>
        <v>0</v>
      </c>
      <c r="S88" s="70">
        <f>(M88+N88)*'Parâmetros'!$C$15+(O88+P88+Q88+R88)*'Parâmetros'!$C$16</f>
        <v>200</v>
      </c>
      <c r="T88" s="70">
        <f t="shared" si="46"/>
        <v>0</v>
      </c>
    </row>
    <row r="89" ht="15.75" customHeight="1">
      <c r="A89" s="65">
        <v>107.0</v>
      </c>
      <c r="B89" s="65" t="s">
        <v>196</v>
      </c>
      <c r="C89" s="66" t="s">
        <v>197</v>
      </c>
      <c r="D89" s="67">
        <v>46197.0</v>
      </c>
      <c r="E89" s="67">
        <v>46199.0</v>
      </c>
      <c r="F89" s="65">
        <v>4.0</v>
      </c>
      <c r="G89" s="65">
        <v>4.0</v>
      </c>
      <c r="H89" s="66" t="s">
        <v>69</v>
      </c>
      <c r="I89" s="68">
        <v>0.0</v>
      </c>
      <c r="J89" s="55" t="str">
        <f>IF(I89&gt;=1,"✅ Concluída",IF(I89&gt;0,"🔵 Em execução",IF(E89&lt;'Parâmetros'!$C$10,"🔴 Atrasada","⚪ Não iniciada")))</f>
        <v>⚪ Não iniciada</v>
      </c>
      <c r="K89" s="33">
        <f t="shared" si="39"/>
        <v>0</v>
      </c>
      <c r="L89" s="69">
        <f>IF(E89=D89,IF('Parâmetros'!$C$10&gt;=E89,G89,0),G89*MEDIAN(0,1,('Parâmetros'!$C$10-D89)/(E89-D89)))</f>
        <v>0</v>
      </c>
      <c r="M89" s="69">
        <f t="shared" si="40"/>
        <v>0</v>
      </c>
      <c r="N89" s="69">
        <f t="shared" si="41"/>
        <v>0</v>
      </c>
      <c r="O89" s="69">
        <f t="shared" si="42"/>
        <v>0</v>
      </c>
      <c r="P89" s="69">
        <f t="shared" si="43"/>
        <v>0</v>
      </c>
      <c r="Q89" s="69">
        <f t="shared" si="44"/>
        <v>0</v>
      </c>
      <c r="R89" s="69">
        <f t="shared" si="45"/>
        <v>4</v>
      </c>
      <c r="S89" s="70">
        <f>(M89+N89)*'Parâmetros'!$C$15+(O89+P89+Q89+R89)*'Parâmetros'!$C$16</f>
        <v>100</v>
      </c>
      <c r="T89" s="70">
        <f t="shared" si="46"/>
        <v>0</v>
      </c>
    </row>
    <row r="90" ht="15.75" customHeight="1">
      <c r="A90" s="65">
        <v>108.0</v>
      </c>
      <c r="B90" s="65" t="s">
        <v>196</v>
      </c>
      <c r="C90" s="66" t="s">
        <v>198</v>
      </c>
      <c r="D90" s="67">
        <v>46202.0</v>
      </c>
      <c r="E90" s="67">
        <v>46204.0</v>
      </c>
      <c r="F90" s="65">
        <v>4.0</v>
      </c>
      <c r="G90" s="65">
        <v>4.0</v>
      </c>
      <c r="H90" s="66" t="s">
        <v>69</v>
      </c>
      <c r="I90" s="68">
        <v>0.0</v>
      </c>
      <c r="J90" s="55" t="str">
        <f>IF(I90&gt;=1,"✅ Concluída",IF(I90&gt;0,"🔵 Em execução",IF(E90&lt;'Parâmetros'!$C$10,"🔴 Atrasada","⚪ Não iniciada")))</f>
        <v>⚪ Não iniciada</v>
      </c>
      <c r="K90" s="33">
        <f t="shared" si="39"/>
        <v>0</v>
      </c>
      <c r="L90" s="69">
        <f>IF(E90=D90,IF('Parâmetros'!$C$10&gt;=E90,G90,0),G90*MEDIAN(0,1,('Parâmetros'!$C$10-D90)/(E90-D90)))</f>
        <v>0</v>
      </c>
      <c r="M90" s="69">
        <f t="shared" si="40"/>
        <v>0</v>
      </c>
      <c r="N90" s="69">
        <f t="shared" si="41"/>
        <v>0</v>
      </c>
      <c r="O90" s="69">
        <f t="shared" si="42"/>
        <v>0</v>
      </c>
      <c r="P90" s="69">
        <f t="shared" si="43"/>
        <v>0</v>
      </c>
      <c r="Q90" s="69">
        <f t="shared" si="44"/>
        <v>0</v>
      </c>
      <c r="R90" s="69">
        <f t="shared" si="45"/>
        <v>4</v>
      </c>
      <c r="S90" s="70">
        <f>(M90+N90)*'Parâmetros'!$C$15+(O90+P90+Q90+R90)*'Parâmetros'!$C$16</f>
        <v>100</v>
      </c>
      <c r="T90" s="70">
        <f t="shared" si="46"/>
        <v>0</v>
      </c>
    </row>
    <row r="91" ht="15.75" customHeight="1">
      <c r="A91" s="65">
        <v>109.0</v>
      </c>
      <c r="B91" s="65" t="s">
        <v>196</v>
      </c>
      <c r="C91" s="66" t="s">
        <v>199</v>
      </c>
      <c r="D91" s="67">
        <v>46195.0</v>
      </c>
      <c r="E91" s="67">
        <v>46195.0</v>
      </c>
      <c r="F91" s="65">
        <v>1.0</v>
      </c>
      <c r="G91" s="65">
        <v>2.0</v>
      </c>
      <c r="H91" s="66" t="s">
        <v>200</v>
      </c>
      <c r="I91" s="68">
        <v>0.0</v>
      </c>
      <c r="J91" s="55" t="str">
        <f>IF(I91&gt;=1,"✅ Concluída",IF(I91&gt;0,"🔵 Em execução",IF(E91&lt;'Parâmetros'!$C$10,"🔴 Atrasada","⚪ Não iniciada")))</f>
        <v>⚪ Não iniciada</v>
      </c>
      <c r="K91" s="33">
        <f t="shared" si="39"/>
        <v>0</v>
      </c>
      <c r="L91" s="69">
        <f>IF(E91=D91,IF('Parâmetros'!$C$10&gt;=E91,G91,0),G91*MEDIAN(0,1,('Parâmetros'!$C$10-D91)/(E91-D91)))</f>
        <v>0</v>
      </c>
      <c r="M91" s="69">
        <f t="shared" si="40"/>
        <v>1</v>
      </c>
      <c r="N91" s="69">
        <f t="shared" si="41"/>
        <v>0</v>
      </c>
      <c r="O91" s="69">
        <f t="shared" si="42"/>
        <v>0</v>
      </c>
      <c r="P91" s="69">
        <f t="shared" si="43"/>
        <v>0</v>
      </c>
      <c r="Q91" s="69">
        <f t="shared" si="44"/>
        <v>0</v>
      </c>
      <c r="R91" s="69">
        <f t="shared" si="45"/>
        <v>1</v>
      </c>
      <c r="S91" s="70">
        <f>(M91+N91)*'Parâmetros'!$C$15+(O91+P91+Q91+R91)*'Parâmetros'!$C$16</f>
        <v>55</v>
      </c>
      <c r="T91" s="70">
        <f t="shared" si="46"/>
        <v>0</v>
      </c>
    </row>
    <row r="92" ht="15.75" customHeight="1">
      <c r="A92" s="65">
        <v>111.0</v>
      </c>
      <c r="B92" s="65" t="s">
        <v>201</v>
      </c>
      <c r="C92" s="66" t="s">
        <v>202</v>
      </c>
      <c r="D92" s="67">
        <v>46195.0</v>
      </c>
      <c r="E92" s="67">
        <v>46195.0</v>
      </c>
      <c r="F92" s="65">
        <v>1.0</v>
      </c>
      <c r="G92" s="65">
        <v>4.0</v>
      </c>
      <c r="H92" s="66" t="s">
        <v>66</v>
      </c>
      <c r="I92" s="68">
        <v>0.0</v>
      </c>
      <c r="J92" s="55" t="str">
        <f>IF(I92&gt;=1,"✅ Concluída",IF(I92&gt;0,"🔵 Em execução",IF(E92&lt;'Parâmetros'!$C$10,"🔴 Atrasada","⚪ Não iniciada")))</f>
        <v>⚪ Não iniciada</v>
      </c>
      <c r="K92" s="33">
        <f t="shared" si="39"/>
        <v>0</v>
      </c>
      <c r="L92" s="69">
        <f>IF(E92=D92,IF('Parâmetros'!$C$10&gt;=E92,G92,0),G92*MEDIAN(0,1,('Parâmetros'!$C$10-D92)/(E92-D92)))</f>
        <v>0</v>
      </c>
      <c r="M92" s="69">
        <f t="shared" si="40"/>
        <v>0</v>
      </c>
      <c r="N92" s="69">
        <f t="shared" si="41"/>
        <v>0</v>
      </c>
      <c r="O92" s="69">
        <f t="shared" si="42"/>
        <v>4</v>
      </c>
      <c r="P92" s="69">
        <f t="shared" si="43"/>
        <v>0</v>
      </c>
      <c r="Q92" s="69">
        <f t="shared" si="44"/>
        <v>0</v>
      </c>
      <c r="R92" s="69">
        <f t="shared" si="45"/>
        <v>0</v>
      </c>
      <c r="S92" s="70">
        <f>(M92+N92)*'Parâmetros'!$C$15+(O92+P92+Q92+R92)*'Parâmetros'!$C$16</f>
        <v>100</v>
      </c>
      <c r="T92" s="70">
        <f t="shared" si="46"/>
        <v>0</v>
      </c>
    </row>
    <row r="93" ht="15.75" customHeight="1">
      <c r="A93" s="65">
        <v>112.0</v>
      </c>
      <c r="B93" s="65" t="s">
        <v>201</v>
      </c>
      <c r="C93" s="66" t="s">
        <v>203</v>
      </c>
      <c r="D93" s="67">
        <v>46196.0</v>
      </c>
      <c r="E93" s="67">
        <v>46198.0</v>
      </c>
      <c r="F93" s="65">
        <v>4.0</v>
      </c>
      <c r="G93" s="65">
        <v>4.0</v>
      </c>
      <c r="H93" s="66" t="s">
        <v>69</v>
      </c>
      <c r="I93" s="68">
        <v>0.0</v>
      </c>
      <c r="J93" s="55" t="str">
        <f>IF(I93&gt;=1,"✅ Concluída",IF(I93&gt;0,"🔵 Em execução",IF(E93&lt;'Parâmetros'!$C$10,"🔴 Atrasada","⚪ Não iniciada")))</f>
        <v>⚪ Não iniciada</v>
      </c>
      <c r="K93" s="33">
        <f t="shared" si="39"/>
        <v>0</v>
      </c>
      <c r="L93" s="69">
        <f>IF(E93=D93,IF('Parâmetros'!$C$10&gt;=E93,G93,0),G93*MEDIAN(0,1,('Parâmetros'!$C$10-D93)/(E93-D93)))</f>
        <v>0</v>
      </c>
      <c r="M93" s="69">
        <f t="shared" si="40"/>
        <v>0</v>
      </c>
      <c r="N93" s="69">
        <f t="shared" si="41"/>
        <v>0</v>
      </c>
      <c r="O93" s="69">
        <f t="shared" si="42"/>
        <v>0</v>
      </c>
      <c r="P93" s="69">
        <f t="shared" si="43"/>
        <v>0</v>
      </c>
      <c r="Q93" s="69">
        <f t="shared" si="44"/>
        <v>0</v>
      </c>
      <c r="R93" s="69">
        <f t="shared" si="45"/>
        <v>4</v>
      </c>
      <c r="S93" s="70">
        <f>(M93+N93)*'Parâmetros'!$C$15+(O93+P93+Q93+R93)*'Parâmetros'!$C$16</f>
        <v>100</v>
      </c>
      <c r="T93" s="70">
        <f t="shared" si="46"/>
        <v>0</v>
      </c>
    </row>
    <row r="94" ht="15.75" customHeight="1">
      <c r="A94" s="65">
        <v>113.0</v>
      </c>
      <c r="B94" s="65" t="s">
        <v>201</v>
      </c>
      <c r="C94" s="66" t="s">
        <v>204</v>
      </c>
      <c r="D94" s="67">
        <v>46196.0</v>
      </c>
      <c r="E94" s="67">
        <v>46196.0</v>
      </c>
      <c r="F94" s="65">
        <v>1.0</v>
      </c>
      <c r="G94" s="65">
        <v>8.0</v>
      </c>
      <c r="H94" s="82" t="s">
        <v>67</v>
      </c>
      <c r="I94" s="68">
        <v>0.0</v>
      </c>
      <c r="J94" s="55" t="str">
        <f>IF(I94&gt;=1,"✅ Concluída",IF(I94&gt;0,"🔵 Em execução",IF(E94&lt;'Parâmetros'!$C$10,"🔴 Atrasada","⚪ Não iniciada")))</f>
        <v>⚪ Não iniciada</v>
      </c>
      <c r="K94" s="33">
        <f t="shared" si="39"/>
        <v>0</v>
      </c>
      <c r="L94" s="69">
        <f>IF(E94=D94,IF('Parâmetros'!$C$10&gt;=E94,G94,0),G94*MEDIAN(0,1,('Parâmetros'!$C$10-D94)/(E94-D94)))</f>
        <v>0</v>
      </c>
      <c r="M94" s="69">
        <f t="shared" si="40"/>
        <v>0</v>
      </c>
      <c r="N94" s="69">
        <f t="shared" si="41"/>
        <v>0</v>
      </c>
      <c r="O94" s="69">
        <f t="shared" si="42"/>
        <v>0</v>
      </c>
      <c r="P94" s="69">
        <f t="shared" si="43"/>
        <v>8</v>
      </c>
      <c r="Q94" s="69">
        <f t="shared" si="44"/>
        <v>0</v>
      </c>
      <c r="R94" s="69">
        <f t="shared" si="45"/>
        <v>0</v>
      </c>
      <c r="S94" s="70">
        <f>(M94+N94)*'Parâmetros'!$C$15+(O94+P94+Q94+R94)*'Parâmetros'!$C$16</f>
        <v>200</v>
      </c>
      <c r="T94" s="70">
        <f t="shared" si="46"/>
        <v>0</v>
      </c>
    </row>
    <row r="95" ht="15.75" customHeight="1">
      <c r="A95" s="65">
        <v>115.0</v>
      </c>
      <c r="B95" s="65" t="s">
        <v>205</v>
      </c>
      <c r="C95" s="66" t="s">
        <v>206</v>
      </c>
      <c r="D95" s="67">
        <v>46196.0</v>
      </c>
      <c r="E95" s="67">
        <v>46196.0</v>
      </c>
      <c r="F95" s="65">
        <v>2.0</v>
      </c>
      <c r="G95" s="65">
        <v>4.0</v>
      </c>
      <c r="H95" s="66" t="s">
        <v>43</v>
      </c>
      <c r="I95" s="68">
        <v>0.0</v>
      </c>
      <c r="J95" s="55" t="str">
        <f>IF(I95&gt;=1,"✅ Concluída",IF(I95&gt;0,"🔵 Em execução",IF(E95&lt;'Parâmetros'!$C$10,"🔴 Atrasada","⚪ Não iniciada")))</f>
        <v>⚪ Não iniciada</v>
      </c>
      <c r="K95" s="33">
        <f t="shared" si="39"/>
        <v>0</v>
      </c>
      <c r="L95" s="69">
        <f>IF(E95=D95,IF('Parâmetros'!$C$10&gt;=E95,G95,0),G95*MEDIAN(0,1,('Parâmetros'!$C$10-D95)/(E95-D95)))</f>
        <v>0</v>
      </c>
      <c r="M95" s="69">
        <f t="shared" si="40"/>
        <v>4</v>
      </c>
      <c r="N95" s="69">
        <f t="shared" si="41"/>
        <v>0</v>
      </c>
      <c r="O95" s="69">
        <f t="shared" si="42"/>
        <v>0</v>
      </c>
      <c r="P95" s="69">
        <f t="shared" si="43"/>
        <v>0</v>
      </c>
      <c r="Q95" s="69">
        <f t="shared" si="44"/>
        <v>0</v>
      </c>
      <c r="R95" s="69">
        <f t="shared" si="45"/>
        <v>0</v>
      </c>
      <c r="S95" s="70">
        <f>(M95+N95)*'Parâmetros'!$C$15+(O95+P95+Q95+R95)*'Parâmetros'!$C$16</f>
        <v>120</v>
      </c>
      <c r="T95" s="70">
        <f t="shared" si="46"/>
        <v>0</v>
      </c>
    </row>
    <row r="96" ht="15.75" customHeight="1">
      <c r="A96" s="65">
        <v>116.0</v>
      </c>
      <c r="B96" s="65" t="s">
        <v>205</v>
      </c>
      <c r="C96" s="66" t="s">
        <v>207</v>
      </c>
      <c r="D96" s="67">
        <v>46203.0</v>
      </c>
      <c r="E96" s="67">
        <v>46203.0</v>
      </c>
      <c r="F96" s="65">
        <v>1.0</v>
      </c>
      <c r="G96" s="65">
        <v>2.0</v>
      </c>
      <c r="H96" s="66" t="s">
        <v>43</v>
      </c>
      <c r="I96" s="68">
        <v>0.0</v>
      </c>
      <c r="J96" s="55" t="str">
        <f>IF(I96&gt;=1,"✅ Concluída",IF(I96&gt;0,"🔵 Em execução",IF(E96&lt;'Parâmetros'!$C$10,"🔴 Atrasada","⚪ Não iniciada")))</f>
        <v>⚪ Não iniciada</v>
      </c>
      <c r="K96" s="33">
        <f t="shared" si="39"/>
        <v>0</v>
      </c>
      <c r="L96" s="69">
        <f>IF(E96=D96,IF('Parâmetros'!$C$10&gt;=E96,G96,0),G96*MEDIAN(0,1,('Parâmetros'!$C$10-D96)/(E96-D96)))</f>
        <v>0</v>
      </c>
      <c r="M96" s="69">
        <f t="shared" si="40"/>
        <v>2</v>
      </c>
      <c r="N96" s="69">
        <f t="shared" si="41"/>
        <v>0</v>
      </c>
      <c r="O96" s="69">
        <f t="shared" si="42"/>
        <v>0</v>
      </c>
      <c r="P96" s="69">
        <f t="shared" si="43"/>
        <v>0</v>
      </c>
      <c r="Q96" s="69">
        <f t="shared" si="44"/>
        <v>0</v>
      </c>
      <c r="R96" s="69">
        <f t="shared" si="45"/>
        <v>0</v>
      </c>
      <c r="S96" s="70">
        <f>(M96+N96)*'Parâmetros'!$C$15+(O96+P96+Q96+R96)*'Parâmetros'!$C$16</f>
        <v>60</v>
      </c>
      <c r="T96" s="70">
        <f t="shared" si="46"/>
        <v>0</v>
      </c>
    </row>
    <row r="97" ht="15.75" customHeight="1">
      <c r="A97" s="65">
        <v>117.0</v>
      </c>
      <c r="B97" s="65" t="s">
        <v>205</v>
      </c>
      <c r="C97" s="66" t="s">
        <v>208</v>
      </c>
      <c r="D97" s="67">
        <v>46204.0</v>
      </c>
      <c r="E97" s="67">
        <v>46204.0</v>
      </c>
      <c r="F97" s="65">
        <v>1.0</v>
      </c>
      <c r="G97" s="65">
        <v>2.0</v>
      </c>
      <c r="H97" s="66" t="s">
        <v>77</v>
      </c>
      <c r="I97" s="68">
        <v>0.0</v>
      </c>
      <c r="J97" s="55" t="str">
        <f>IF(I97&gt;=1,"✅ Concluída",IF(I97&gt;0,"🔵 Em execução",IF(E97&lt;'Parâmetros'!$C$10,"🔴 Atrasada","⚪ Não iniciada")))</f>
        <v>⚪ Não iniciada</v>
      </c>
      <c r="K97" s="33">
        <f t="shared" si="39"/>
        <v>0</v>
      </c>
      <c r="L97" s="69">
        <f>IF(E97=D97,IF('Parâmetros'!$C$10&gt;=E97,G97,0),G97*MEDIAN(0,1,('Parâmetros'!$C$10-D97)/(E97-D97)))</f>
        <v>0</v>
      </c>
      <c r="M97" s="69">
        <f t="shared" si="40"/>
        <v>0</v>
      </c>
      <c r="N97" s="69">
        <f t="shared" si="41"/>
        <v>0</v>
      </c>
      <c r="O97" s="69">
        <f t="shared" si="42"/>
        <v>0</v>
      </c>
      <c r="P97" s="69">
        <f t="shared" si="43"/>
        <v>0</v>
      </c>
      <c r="Q97" s="69">
        <f t="shared" si="44"/>
        <v>0</v>
      </c>
      <c r="R97" s="69">
        <f t="shared" si="45"/>
        <v>0</v>
      </c>
      <c r="S97" s="70">
        <f>(M97+N97)*'Parâmetros'!$C$15+(O97+P97+Q97+R97)*'Parâmetros'!$C$16</f>
        <v>0</v>
      </c>
      <c r="T97" s="70">
        <f t="shared" si="46"/>
        <v>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K1"/>
    <mergeCell ref="A3:K3"/>
    <mergeCell ref="A22:K22"/>
    <mergeCell ref="A84:K84"/>
    <mergeCell ref="A70:K70"/>
    <mergeCell ref="A42:K4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7" width="7.0"/>
    <col customWidth="1" min="8" max="9" width="10.0"/>
    <col customWidth="1" min="10" max="10" width="22.0"/>
    <col customWidth="1" min="11" max="11" width="8.71"/>
    <col customWidth="1" hidden="1" min="12" max="12" width="13.0"/>
  </cols>
  <sheetData>
    <row r="1" ht="14.25" customHeight="1"/>
    <row r="2" ht="25.5" customHeight="1">
      <c r="B2" s="60" t="s">
        <v>209</v>
      </c>
      <c r="C2" s="2"/>
      <c r="D2" s="2"/>
      <c r="E2" s="2"/>
      <c r="F2" s="2"/>
      <c r="G2" s="2"/>
      <c r="H2" s="2"/>
      <c r="I2" s="2"/>
      <c r="J2" s="3"/>
    </row>
    <row r="3" ht="14.25" customHeight="1"/>
    <row r="4" ht="14.25" customHeight="1">
      <c r="B4" s="62" t="s">
        <v>210</v>
      </c>
      <c r="C4" s="62" t="s">
        <v>211</v>
      </c>
      <c r="D4" s="62" t="s">
        <v>212</v>
      </c>
      <c r="E4" s="62" t="s">
        <v>213</v>
      </c>
      <c r="F4" s="62" t="s">
        <v>214</v>
      </c>
      <c r="G4" s="62" t="s">
        <v>33</v>
      </c>
      <c r="H4" s="62" t="s">
        <v>34</v>
      </c>
      <c r="I4" s="62" t="s">
        <v>215</v>
      </c>
      <c r="J4" s="62" t="s">
        <v>39</v>
      </c>
    </row>
    <row r="5" ht="24.0" customHeight="1">
      <c r="B5" s="65">
        <v>1.0</v>
      </c>
      <c r="C5" s="83" t="s">
        <v>216</v>
      </c>
      <c r="D5" s="69" t="s">
        <v>217</v>
      </c>
      <c r="E5" s="84">
        <v>3.0</v>
      </c>
      <c r="F5" s="84">
        <v>3.0</v>
      </c>
      <c r="G5" s="65">
        <f t="shared" ref="G5:G30" si="1">E5*F5</f>
        <v>9</v>
      </c>
      <c r="H5" s="65" t="str">
        <f t="shared" ref="H5:H30" si="2">IF(G5&gt;=15,"🔴 Alto",IF(G5&gt;=8,"🟡 Médio","🟢 Baixo"))</f>
        <v>🟡 Médio</v>
      </c>
      <c r="I5" s="65" t="s">
        <v>218</v>
      </c>
      <c r="J5" s="83" t="s">
        <v>219</v>
      </c>
      <c r="L5" s="69">
        <f t="shared" ref="L5:L30" si="3">G5+(26-ROW()+5)/1000</f>
        <v>9.026</v>
      </c>
    </row>
    <row r="6" ht="24.0" customHeight="1">
      <c r="B6" s="65">
        <v>2.0</v>
      </c>
      <c r="C6" s="83" t="s">
        <v>220</v>
      </c>
      <c r="D6" s="69" t="s">
        <v>217</v>
      </c>
      <c r="E6" s="84">
        <v>3.0</v>
      </c>
      <c r="F6" s="84">
        <v>4.0</v>
      </c>
      <c r="G6" s="65">
        <f t="shared" si="1"/>
        <v>12</v>
      </c>
      <c r="H6" s="65" t="str">
        <f t="shared" si="2"/>
        <v>🟡 Médio</v>
      </c>
      <c r="I6" s="65" t="s">
        <v>218</v>
      </c>
      <c r="J6" s="83" t="s">
        <v>219</v>
      </c>
      <c r="L6" s="69">
        <f t="shared" si="3"/>
        <v>12.025</v>
      </c>
    </row>
    <row r="7" ht="24.0" customHeight="1">
      <c r="B7" s="65">
        <v>3.0</v>
      </c>
      <c r="C7" s="83" t="s">
        <v>221</v>
      </c>
      <c r="D7" s="69" t="s">
        <v>217</v>
      </c>
      <c r="E7" s="84">
        <v>3.0</v>
      </c>
      <c r="F7" s="84">
        <v>2.0</v>
      </c>
      <c r="G7" s="65">
        <f t="shared" si="1"/>
        <v>6</v>
      </c>
      <c r="H7" s="65" t="str">
        <f t="shared" si="2"/>
        <v>🟢 Baixo</v>
      </c>
      <c r="I7" s="65" t="s">
        <v>218</v>
      </c>
      <c r="J7" s="83" t="s">
        <v>219</v>
      </c>
      <c r="L7" s="69">
        <f t="shared" si="3"/>
        <v>6.024</v>
      </c>
    </row>
    <row r="8" ht="24.0" customHeight="1">
      <c r="B8" s="65">
        <v>4.0</v>
      </c>
      <c r="C8" s="83" t="s">
        <v>222</v>
      </c>
      <c r="D8" s="69" t="s">
        <v>223</v>
      </c>
      <c r="E8" s="84">
        <v>2.0</v>
      </c>
      <c r="F8" s="84">
        <v>4.0</v>
      </c>
      <c r="G8" s="65">
        <f t="shared" si="1"/>
        <v>8</v>
      </c>
      <c r="H8" s="65" t="str">
        <f t="shared" si="2"/>
        <v>🟡 Médio</v>
      </c>
      <c r="I8" s="65" t="s">
        <v>218</v>
      </c>
      <c r="J8" s="83" t="s">
        <v>219</v>
      </c>
      <c r="L8" s="69">
        <f t="shared" si="3"/>
        <v>8.023</v>
      </c>
    </row>
    <row r="9" ht="24.0" customHeight="1">
      <c r="B9" s="65">
        <v>5.0</v>
      </c>
      <c r="C9" s="83" t="s">
        <v>224</v>
      </c>
      <c r="D9" s="69" t="s">
        <v>217</v>
      </c>
      <c r="E9" s="84">
        <v>2.0</v>
      </c>
      <c r="F9" s="84">
        <v>3.0</v>
      </c>
      <c r="G9" s="65">
        <f t="shared" si="1"/>
        <v>6</v>
      </c>
      <c r="H9" s="65" t="str">
        <f t="shared" si="2"/>
        <v>🟢 Baixo</v>
      </c>
      <c r="I9" s="65" t="s">
        <v>218</v>
      </c>
      <c r="J9" s="83" t="s">
        <v>219</v>
      </c>
      <c r="L9" s="69">
        <f t="shared" si="3"/>
        <v>6.022</v>
      </c>
    </row>
    <row r="10" ht="24.0" customHeight="1">
      <c r="B10" s="65">
        <v>6.0</v>
      </c>
      <c r="C10" s="83" t="s">
        <v>225</v>
      </c>
      <c r="D10" s="69" t="s">
        <v>226</v>
      </c>
      <c r="E10" s="84">
        <v>4.0</v>
      </c>
      <c r="F10" s="84">
        <v>3.0</v>
      </c>
      <c r="G10" s="65">
        <f t="shared" si="1"/>
        <v>12</v>
      </c>
      <c r="H10" s="65" t="str">
        <f t="shared" si="2"/>
        <v>🟡 Médio</v>
      </c>
      <c r="I10" s="65" t="s">
        <v>227</v>
      </c>
      <c r="J10" s="83" t="s">
        <v>219</v>
      </c>
      <c r="L10" s="69">
        <f t="shared" si="3"/>
        <v>12.021</v>
      </c>
    </row>
    <row r="11" ht="24.0" customHeight="1">
      <c r="B11" s="65">
        <v>7.0</v>
      </c>
      <c r="C11" s="83" t="s">
        <v>228</v>
      </c>
      <c r="D11" s="69" t="s">
        <v>226</v>
      </c>
      <c r="E11" s="84">
        <v>5.0</v>
      </c>
      <c r="F11" s="84">
        <v>4.0</v>
      </c>
      <c r="G11" s="65">
        <f t="shared" si="1"/>
        <v>20</v>
      </c>
      <c r="H11" s="65" t="str">
        <f t="shared" si="2"/>
        <v>🔴 Alto</v>
      </c>
      <c r="I11" s="65" t="s">
        <v>218</v>
      </c>
      <c r="J11" s="83" t="s">
        <v>219</v>
      </c>
      <c r="L11" s="69">
        <f t="shared" si="3"/>
        <v>20.02</v>
      </c>
    </row>
    <row r="12" ht="24.0" customHeight="1">
      <c r="B12" s="65">
        <v>8.0</v>
      </c>
      <c r="C12" s="83" t="s">
        <v>229</v>
      </c>
      <c r="D12" s="69" t="s">
        <v>226</v>
      </c>
      <c r="E12" s="84">
        <v>3.0</v>
      </c>
      <c r="F12" s="84">
        <v>3.0</v>
      </c>
      <c r="G12" s="65">
        <f t="shared" si="1"/>
        <v>9</v>
      </c>
      <c r="H12" s="65" t="str">
        <f t="shared" si="2"/>
        <v>🟡 Médio</v>
      </c>
      <c r="I12" s="65" t="s">
        <v>218</v>
      </c>
      <c r="J12" s="83" t="s">
        <v>219</v>
      </c>
      <c r="L12" s="69">
        <f t="shared" si="3"/>
        <v>9.019</v>
      </c>
    </row>
    <row r="13" ht="24.0" customHeight="1">
      <c r="B13" s="65">
        <v>9.0</v>
      </c>
      <c r="C13" s="83" t="s">
        <v>230</v>
      </c>
      <c r="D13" s="69" t="s">
        <v>226</v>
      </c>
      <c r="E13" s="84">
        <v>2.0</v>
      </c>
      <c r="F13" s="84">
        <v>3.0</v>
      </c>
      <c r="G13" s="65">
        <f t="shared" si="1"/>
        <v>6</v>
      </c>
      <c r="H13" s="65" t="str">
        <f t="shared" si="2"/>
        <v>🟢 Baixo</v>
      </c>
      <c r="I13" s="65" t="s">
        <v>218</v>
      </c>
      <c r="J13" s="83" t="s">
        <v>231</v>
      </c>
      <c r="L13" s="69">
        <f t="shared" si="3"/>
        <v>6.018</v>
      </c>
    </row>
    <row r="14" ht="24.0" customHeight="1">
      <c r="B14" s="65">
        <v>10.0</v>
      </c>
      <c r="C14" s="83" t="s">
        <v>232</v>
      </c>
      <c r="D14" s="69" t="s">
        <v>226</v>
      </c>
      <c r="E14" s="84">
        <v>2.0</v>
      </c>
      <c r="F14" s="84">
        <v>3.0</v>
      </c>
      <c r="G14" s="65">
        <f t="shared" si="1"/>
        <v>6</v>
      </c>
      <c r="H14" s="65" t="str">
        <f t="shared" si="2"/>
        <v>🟢 Baixo</v>
      </c>
      <c r="I14" s="65" t="s">
        <v>218</v>
      </c>
      <c r="J14" s="83" t="s">
        <v>219</v>
      </c>
      <c r="L14" s="69">
        <f t="shared" si="3"/>
        <v>6.017</v>
      </c>
    </row>
    <row r="15" ht="24.0" customHeight="1">
      <c r="B15" s="65">
        <v>11.0</v>
      </c>
      <c r="C15" s="83" t="s">
        <v>233</v>
      </c>
      <c r="D15" s="69" t="s">
        <v>223</v>
      </c>
      <c r="E15" s="84">
        <v>3.0</v>
      </c>
      <c r="F15" s="84">
        <v>3.0</v>
      </c>
      <c r="G15" s="65">
        <f t="shared" si="1"/>
        <v>9</v>
      </c>
      <c r="H15" s="65" t="str">
        <f t="shared" si="2"/>
        <v>🟡 Médio</v>
      </c>
      <c r="I15" s="65" t="s">
        <v>218</v>
      </c>
      <c r="J15" s="83" t="s">
        <v>234</v>
      </c>
      <c r="L15" s="69">
        <f t="shared" si="3"/>
        <v>9.016</v>
      </c>
    </row>
    <row r="16" ht="24.0" customHeight="1">
      <c r="B16" s="65">
        <v>12.0</v>
      </c>
      <c r="C16" s="83" t="s">
        <v>235</v>
      </c>
      <c r="D16" s="69" t="s">
        <v>223</v>
      </c>
      <c r="E16" s="84">
        <v>4.0</v>
      </c>
      <c r="F16" s="84">
        <v>3.0</v>
      </c>
      <c r="G16" s="65">
        <f t="shared" si="1"/>
        <v>12</v>
      </c>
      <c r="H16" s="65" t="str">
        <f t="shared" si="2"/>
        <v>🟡 Médio</v>
      </c>
      <c r="I16" s="65" t="s">
        <v>227</v>
      </c>
      <c r="J16" s="83" t="s">
        <v>234</v>
      </c>
      <c r="L16" s="69">
        <f t="shared" si="3"/>
        <v>12.015</v>
      </c>
    </row>
    <row r="17" ht="24.0" customHeight="1">
      <c r="B17" s="65">
        <v>13.0</v>
      </c>
      <c r="C17" s="83" t="s">
        <v>236</v>
      </c>
      <c r="D17" s="69" t="s">
        <v>223</v>
      </c>
      <c r="E17" s="84">
        <v>3.0</v>
      </c>
      <c r="F17" s="84">
        <v>3.0</v>
      </c>
      <c r="G17" s="65">
        <f t="shared" si="1"/>
        <v>9</v>
      </c>
      <c r="H17" s="65" t="str">
        <f t="shared" si="2"/>
        <v>🟡 Médio</v>
      </c>
      <c r="I17" s="65" t="s">
        <v>218</v>
      </c>
      <c r="J17" s="83" t="s">
        <v>234</v>
      </c>
      <c r="L17" s="69">
        <f t="shared" si="3"/>
        <v>9.014</v>
      </c>
    </row>
    <row r="18" ht="24.0" customHeight="1">
      <c r="B18" s="65">
        <v>14.0</v>
      </c>
      <c r="C18" s="83" t="s">
        <v>237</v>
      </c>
      <c r="D18" s="69" t="s">
        <v>223</v>
      </c>
      <c r="E18" s="84">
        <v>2.0</v>
      </c>
      <c r="F18" s="84">
        <v>4.0</v>
      </c>
      <c r="G18" s="65">
        <f t="shared" si="1"/>
        <v>8</v>
      </c>
      <c r="H18" s="65" t="str">
        <f t="shared" si="2"/>
        <v>🟡 Médio</v>
      </c>
      <c r="I18" s="65" t="s">
        <v>238</v>
      </c>
      <c r="J18" s="83" t="s">
        <v>234</v>
      </c>
      <c r="L18" s="69">
        <f t="shared" si="3"/>
        <v>8.013</v>
      </c>
    </row>
    <row r="19" ht="24.0" customHeight="1">
      <c r="B19" s="65">
        <v>15.0</v>
      </c>
      <c r="C19" s="83" t="s">
        <v>239</v>
      </c>
      <c r="D19" s="69" t="s">
        <v>223</v>
      </c>
      <c r="E19" s="84">
        <v>1.0</v>
      </c>
      <c r="F19" s="84">
        <v>2.0</v>
      </c>
      <c r="G19" s="65">
        <f t="shared" si="1"/>
        <v>2</v>
      </c>
      <c r="H19" s="65" t="str">
        <f t="shared" si="2"/>
        <v>🟢 Baixo</v>
      </c>
      <c r="I19" s="65" t="s">
        <v>227</v>
      </c>
      <c r="J19" s="83" t="s">
        <v>234</v>
      </c>
      <c r="L19" s="69">
        <f t="shared" si="3"/>
        <v>2.012</v>
      </c>
    </row>
    <row r="20" ht="24.0" customHeight="1">
      <c r="B20" s="65">
        <v>16.0</v>
      </c>
      <c r="C20" s="83" t="s">
        <v>240</v>
      </c>
      <c r="D20" s="69" t="s">
        <v>241</v>
      </c>
      <c r="E20" s="84">
        <v>2.0</v>
      </c>
      <c r="F20" s="84">
        <v>3.0</v>
      </c>
      <c r="G20" s="65">
        <f t="shared" si="1"/>
        <v>6</v>
      </c>
      <c r="H20" s="65" t="str">
        <f t="shared" si="2"/>
        <v>🟢 Baixo</v>
      </c>
      <c r="I20" s="65" t="s">
        <v>218</v>
      </c>
      <c r="J20" s="83" t="s">
        <v>234</v>
      </c>
      <c r="L20" s="69">
        <f t="shared" si="3"/>
        <v>6.011</v>
      </c>
    </row>
    <row r="21" ht="24.0" customHeight="1">
      <c r="B21" s="65">
        <v>17.0</v>
      </c>
      <c r="C21" s="83" t="s">
        <v>242</v>
      </c>
      <c r="D21" s="69" t="s">
        <v>243</v>
      </c>
      <c r="E21" s="84">
        <v>2.0</v>
      </c>
      <c r="F21" s="84">
        <v>2.0</v>
      </c>
      <c r="G21" s="65">
        <f t="shared" si="1"/>
        <v>4</v>
      </c>
      <c r="H21" s="65" t="str">
        <f t="shared" si="2"/>
        <v>🟢 Baixo</v>
      </c>
      <c r="I21" s="65" t="s">
        <v>227</v>
      </c>
      <c r="J21" s="83" t="s">
        <v>234</v>
      </c>
      <c r="L21" s="69">
        <f t="shared" si="3"/>
        <v>4.01</v>
      </c>
    </row>
    <row r="22" ht="24.0" customHeight="1">
      <c r="B22" s="65">
        <v>18.0</v>
      </c>
      <c r="C22" s="83" t="s">
        <v>244</v>
      </c>
      <c r="D22" s="69" t="s">
        <v>243</v>
      </c>
      <c r="E22" s="84">
        <v>1.0</v>
      </c>
      <c r="F22" s="84">
        <v>3.0</v>
      </c>
      <c r="G22" s="65">
        <f t="shared" si="1"/>
        <v>3</v>
      </c>
      <c r="H22" s="65" t="str">
        <f t="shared" si="2"/>
        <v>🟢 Baixo</v>
      </c>
      <c r="I22" s="65" t="s">
        <v>218</v>
      </c>
      <c r="J22" s="83" t="s">
        <v>245</v>
      </c>
      <c r="L22" s="69">
        <f t="shared" si="3"/>
        <v>3.009</v>
      </c>
    </row>
    <row r="23" ht="24.0" customHeight="1">
      <c r="B23" s="65">
        <v>19.0</v>
      </c>
      <c r="C23" s="83" t="s">
        <v>246</v>
      </c>
      <c r="D23" s="69" t="s">
        <v>243</v>
      </c>
      <c r="E23" s="84">
        <v>2.0</v>
      </c>
      <c r="F23" s="84">
        <v>3.0</v>
      </c>
      <c r="G23" s="65">
        <f t="shared" si="1"/>
        <v>6</v>
      </c>
      <c r="H23" s="65" t="str">
        <f t="shared" si="2"/>
        <v>🟢 Baixo</v>
      </c>
      <c r="I23" s="65" t="s">
        <v>218</v>
      </c>
      <c r="J23" s="83" t="s">
        <v>247</v>
      </c>
      <c r="L23" s="69">
        <f t="shared" si="3"/>
        <v>6.008</v>
      </c>
    </row>
    <row r="24" ht="24.0" customHeight="1">
      <c r="B24" s="65">
        <v>20.0</v>
      </c>
      <c r="C24" s="83" t="s">
        <v>248</v>
      </c>
      <c r="D24" s="69" t="s">
        <v>226</v>
      </c>
      <c r="E24" s="84">
        <v>2.0</v>
      </c>
      <c r="F24" s="84">
        <v>3.0</v>
      </c>
      <c r="G24" s="65">
        <f t="shared" si="1"/>
        <v>6</v>
      </c>
      <c r="H24" s="65" t="str">
        <f t="shared" si="2"/>
        <v>🟢 Baixo</v>
      </c>
      <c r="I24" s="65" t="s">
        <v>218</v>
      </c>
      <c r="J24" s="83" t="s">
        <v>219</v>
      </c>
      <c r="L24" s="69">
        <f t="shared" si="3"/>
        <v>6.007</v>
      </c>
    </row>
    <row r="25" ht="24.0" customHeight="1">
      <c r="B25" s="65">
        <v>21.0</v>
      </c>
      <c r="C25" s="83" t="s">
        <v>249</v>
      </c>
      <c r="D25" s="69" t="s">
        <v>226</v>
      </c>
      <c r="E25" s="84">
        <v>3.0</v>
      </c>
      <c r="F25" s="84">
        <v>3.0</v>
      </c>
      <c r="G25" s="65">
        <f t="shared" si="1"/>
        <v>9</v>
      </c>
      <c r="H25" s="65" t="str">
        <f t="shared" si="2"/>
        <v>🟡 Médio</v>
      </c>
      <c r="I25" s="65" t="s">
        <v>218</v>
      </c>
      <c r="J25" s="83" t="s">
        <v>219</v>
      </c>
      <c r="L25" s="69">
        <f t="shared" si="3"/>
        <v>9.006</v>
      </c>
    </row>
    <row r="26" ht="24.0" customHeight="1">
      <c r="B26" s="65">
        <v>22.0</v>
      </c>
      <c r="C26" s="83" t="s">
        <v>250</v>
      </c>
      <c r="D26" s="69" t="s">
        <v>217</v>
      </c>
      <c r="E26" s="84">
        <v>4.0</v>
      </c>
      <c r="F26" s="84">
        <v>4.0</v>
      </c>
      <c r="G26" s="65">
        <f t="shared" si="1"/>
        <v>16</v>
      </c>
      <c r="H26" s="65" t="str">
        <f t="shared" si="2"/>
        <v>🔴 Alto</v>
      </c>
      <c r="I26" s="65" t="s">
        <v>218</v>
      </c>
      <c r="J26" s="83" t="s">
        <v>219</v>
      </c>
      <c r="L26" s="69">
        <f t="shared" si="3"/>
        <v>16.005</v>
      </c>
    </row>
    <row r="27" ht="24.0" customHeight="1">
      <c r="B27" s="65">
        <v>23.0</v>
      </c>
      <c r="C27" s="83" t="s">
        <v>251</v>
      </c>
      <c r="D27" s="69" t="s">
        <v>226</v>
      </c>
      <c r="E27" s="84">
        <v>3.0</v>
      </c>
      <c r="F27" s="84">
        <v>4.0</v>
      </c>
      <c r="G27" s="65">
        <f t="shared" si="1"/>
        <v>12</v>
      </c>
      <c r="H27" s="65" t="str">
        <f t="shared" si="2"/>
        <v>🟡 Médio</v>
      </c>
      <c r="I27" s="65" t="s">
        <v>218</v>
      </c>
      <c r="J27" s="83" t="s">
        <v>219</v>
      </c>
      <c r="L27" s="69">
        <f t="shared" si="3"/>
        <v>12.004</v>
      </c>
    </row>
    <row r="28" ht="24.0" customHeight="1">
      <c r="B28" s="65">
        <v>24.0</v>
      </c>
      <c r="C28" s="83" t="s">
        <v>252</v>
      </c>
      <c r="D28" s="69" t="s">
        <v>223</v>
      </c>
      <c r="E28" s="84">
        <v>3.0</v>
      </c>
      <c r="F28" s="84">
        <v>3.0</v>
      </c>
      <c r="G28" s="65">
        <f t="shared" si="1"/>
        <v>9</v>
      </c>
      <c r="H28" s="65" t="str">
        <f t="shared" si="2"/>
        <v>🟡 Médio</v>
      </c>
      <c r="I28" s="65" t="s">
        <v>218</v>
      </c>
      <c r="J28" s="83" t="s">
        <v>253</v>
      </c>
      <c r="L28" s="69">
        <f t="shared" si="3"/>
        <v>9.003</v>
      </c>
    </row>
    <row r="29" ht="24.0" customHeight="1">
      <c r="B29" s="65">
        <v>25.0</v>
      </c>
      <c r="C29" s="83" t="s">
        <v>254</v>
      </c>
      <c r="D29" s="69" t="s">
        <v>217</v>
      </c>
      <c r="E29" s="84">
        <v>3.0</v>
      </c>
      <c r="F29" s="84">
        <v>3.0</v>
      </c>
      <c r="G29" s="65">
        <f t="shared" si="1"/>
        <v>9</v>
      </c>
      <c r="H29" s="65" t="str">
        <f t="shared" si="2"/>
        <v>🟡 Médio</v>
      </c>
      <c r="I29" s="65" t="s">
        <v>218</v>
      </c>
      <c r="J29" s="83" t="s">
        <v>219</v>
      </c>
      <c r="L29" s="69">
        <f t="shared" si="3"/>
        <v>9.002</v>
      </c>
    </row>
    <row r="30" ht="24.0" customHeight="1">
      <c r="B30" s="65">
        <v>26.0</v>
      </c>
      <c r="C30" s="83" t="s">
        <v>255</v>
      </c>
      <c r="D30" s="69" t="s">
        <v>223</v>
      </c>
      <c r="E30" s="84">
        <v>3.0</v>
      </c>
      <c r="F30" s="84">
        <v>4.0</v>
      </c>
      <c r="G30" s="65">
        <f t="shared" si="1"/>
        <v>12</v>
      </c>
      <c r="H30" s="65" t="str">
        <f t="shared" si="2"/>
        <v>🟡 Médio</v>
      </c>
      <c r="I30" s="65" t="s">
        <v>218</v>
      </c>
      <c r="J30" s="83" t="s">
        <v>256</v>
      </c>
      <c r="L30" s="69">
        <f t="shared" si="3"/>
        <v>12.001</v>
      </c>
    </row>
    <row r="31" ht="15.75" customHeight="1"/>
    <row r="32" ht="15.75" customHeight="1">
      <c r="C32" s="85" t="s">
        <v>257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9.0"/>
    <col customWidth="1" min="4" max="4" width="20.0"/>
    <col customWidth="1" min="5" max="5" width="11.0"/>
    <col customWidth="1" min="6" max="6" width="12.0"/>
    <col customWidth="1" min="7" max="8" width="9.0"/>
    <col customWidth="1" min="9" max="9" width="11.0"/>
    <col customWidth="1" min="10" max="10" width="30.0"/>
  </cols>
  <sheetData>
    <row r="1" ht="14.25" customHeight="1"/>
    <row r="2" ht="25.5" customHeight="1">
      <c r="B2" s="86" t="s">
        <v>258</v>
      </c>
      <c r="C2" s="2"/>
      <c r="D2" s="2"/>
      <c r="E2" s="2"/>
      <c r="F2" s="2"/>
      <c r="G2" s="2"/>
      <c r="H2" s="2"/>
      <c r="I2" s="2"/>
      <c r="J2" s="3"/>
    </row>
    <row r="3" ht="14.25" customHeight="1"/>
    <row r="4" ht="14.25" customHeight="1">
      <c r="B4" s="62" t="s">
        <v>210</v>
      </c>
      <c r="C4" s="62" t="s">
        <v>259</v>
      </c>
      <c r="D4" s="62" t="s">
        <v>260</v>
      </c>
      <c r="E4" s="62" t="s">
        <v>261</v>
      </c>
      <c r="F4" s="62" t="s">
        <v>262</v>
      </c>
      <c r="G4" s="62" t="s">
        <v>263</v>
      </c>
      <c r="H4" s="62" t="s">
        <v>264</v>
      </c>
      <c r="I4" s="62" t="s">
        <v>265</v>
      </c>
      <c r="J4" s="62" t="s">
        <v>266</v>
      </c>
    </row>
    <row r="5" ht="14.25" customHeight="1">
      <c r="B5" s="87" t="s">
        <v>43</v>
      </c>
      <c r="C5" s="88" t="s">
        <v>267</v>
      </c>
      <c r="D5" s="88" t="s">
        <v>245</v>
      </c>
      <c r="E5" s="87">
        <v>160.0</v>
      </c>
      <c r="F5" s="89">
        <f>SUM(Cronograma!$M$4:$M$97)</f>
        <v>148.3333333</v>
      </c>
      <c r="G5" s="90">
        <f t="shared" ref="G5:G10" si="1">F5/E5</f>
        <v>0.9270833333</v>
      </c>
      <c r="H5" s="89">
        <f t="shared" ref="H5:H10" si="2">E5-F5</f>
        <v>11.66666667</v>
      </c>
      <c r="I5" s="87" t="str">
        <f t="shared" ref="I5:I10" si="3">IF(G5&gt;=1,"🔴 ACIMA",IF(G5&gt;=0.9,"🟡 LIMITE","🟢 OK"))</f>
        <v>🟡 LIMITE</v>
      </c>
      <c r="J5" s="91"/>
    </row>
    <row r="6" ht="14.25" customHeight="1">
      <c r="B6" s="87" t="s">
        <v>65</v>
      </c>
      <c r="C6" s="88" t="s">
        <v>268</v>
      </c>
      <c r="D6" s="88" t="s">
        <v>256</v>
      </c>
      <c r="E6" s="87">
        <v>80.0</v>
      </c>
      <c r="F6" s="89">
        <f>SUM(Cronograma!$N$4:$N$97)</f>
        <v>51</v>
      </c>
      <c r="G6" s="90">
        <f t="shared" si="1"/>
        <v>0.6375</v>
      </c>
      <c r="H6" s="89">
        <f t="shared" si="2"/>
        <v>29</v>
      </c>
      <c r="I6" s="87" t="str">
        <f t="shared" si="3"/>
        <v>🟢 OK</v>
      </c>
      <c r="J6" s="91"/>
    </row>
    <row r="7" ht="14.25" customHeight="1">
      <c r="B7" s="87" t="s">
        <v>66</v>
      </c>
      <c r="C7" s="88" t="s">
        <v>269</v>
      </c>
      <c r="D7" s="88" t="s">
        <v>270</v>
      </c>
      <c r="E7" s="87">
        <v>330.0</v>
      </c>
      <c r="F7" s="89">
        <f>SUM(Cronograma!$O$4:$O$97)</f>
        <v>342.3333333</v>
      </c>
      <c r="G7" s="90">
        <f t="shared" si="1"/>
        <v>1.037373737</v>
      </c>
      <c r="H7" s="89">
        <f t="shared" si="2"/>
        <v>-12.33333333</v>
      </c>
      <c r="I7" s="87" t="str">
        <f t="shared" si="3"/>
        <v>🔴 ACIMA</v>
      </c>
      <c r="J7" s="91"/>
    </row>
    <row r="8" ht="14.25" customHeight="1">
      <c r="B8" s="87" t="s">
        <v>67</v>
      </c>
      <c r="C8" s="88" t="s">
        <v>271</v>
      </c>
      <c r="D8" s="88" t="s">
        <v>270</v>
      </c>
      <c r="E8" s="87">
        <v>330.0</v>
      </c>
      <c r="F8" s="89">
        <f>SUM(Cronograma!$P$4:$P$97)</f>
        <v>291.3333333</v>
      </c>
      <c r="G8" s="90">
        <f t="shared" si="1"/>
        <v>0.8828282828</v>
      </c>
      <c r="H8" s="89">
        <f t="shared" si="2"/>
        <v>38.66666667</v>
      </c>
      <c r="I8" s="87" t="str">
        <f t="shared" si="3"/>
        <v>🟢 OK</v>
      </c>
      <c r="J8" s="91"/>
    </row>
    <row r="9" ht="14.25" customHeight="1">
      <c r="B9" s="87" t="s">
        <v>68</v>
      </c>
      <c r="C9" s="88" t="s">
        <v>272</v>
      </c>
      <c r="D9" s="88" t="s">
        <v>270</v>
      </c>
      <c r="E9" s="87">
        <v>330.0</v>
      </c>
      <c r="F9" s="89">
        <f>SUM(Cronograma!$Q$4:$Q$97)</f>
        <v>136</v>
      </c>
      <c r="G9" s="90">
        <f t="shared" si="1"/>
        <v>0.4121212121</v>
      </c>
      <c r="H9" s="89">
        <f t="shared" si="2"/>
        <v>194</v>
      </c>
      <c r="I9" s="87" t="str">
        <f t="shared" si="3"/>
        <v>🟢 OK</v>
      </c>
      <c r="J9" s="92" t="s">
        <v>273</v>
      </c>
    </row>
    <row r="10" ht="14.25" customHeight="1">
      <c r="B10" s="87" t="s">
        <v>69</v>
      </c>
      <c r="C10" s="88" t="s">
        <v>274</v>
      </c>
      <c r="D10" s="88" t="s">
        <v>275</v>
      </c>
      <c r="E10" s="87">
        <v>20.0</v>
      </c>
      <c r="F10" s="89">
        <f>SUM(Cronograma!$R$4:$R$97)</f>
        <v>17</v>
      </c>
      <c r="G10" s="90">
        <f t="shared" si="1"/>
        <v>0.85</v>
      </c>
      <c r="H10" s="89">
        <f t="shared" si="2"/>
        <v>3</v>
      </c>
      <c r="I10" s="87" t="str">
        <f t="shared" si="3"/>
        <v>🟢 OK</v>
      </c>
      <c r="J10" s="91"/>
    </row>
    <row r="11" ht="14.25" customHeight="1"/>
    <row r="12" ht="25.5" customHeight="1">
      <c r="B12" s="86" t="s">
        <v>276</v>
      </c>
      <c r="C12" s="2"/>
      <c r="D12" s="2"/>
      <c r="E12" s="2"/>
      <c r="F12" s="2"/>
      <c r="G12" s="2"/>
      <c r="H12" s="2"/>
      <c r="I12" s="2"/>
      <c r="J12" s="3"/>
    </row>
    <row r="13" ht="14.25" customHeight="1"/>
    <row r="14" ht="14.25" customHeight="1">
      <c r="B14" s="62" t="s">
        <v>210</v>
      </c>
      <c r="C14" s="62" t="s">
        <v>259</v>
      </c>
      <c r="D14" s="62" t="s">
        <v>277</v>
      </c>
      <c r="E14" s="62" t="s">
        <v>278</v>
      </c>
      <c r="F14" s="62" t="s">
        <v>279</v>
      </c>
      <c r="G14" s="62" t="s">
        <v>280</v>
      </c>
      <c r="H14" s="62" t="s">
        <v>281</v>
      </c>
    </row>
    <row r="15" ht="14.25" customHeight="1">
      <c r="B15" s="87" t="s">
        <v>43</v>
      </c>
      <c r="C15" s="88" t="s">
        <v>267</v>
      </c>
      <c r="D15" s="89">
        <f t="shared" ref="D15:D20" si="4">F5</f>
        <v>148.3333333</v>
      </c>
      <c r="E15" s="93">
        <f>'Parâmetros'!$C$15</f>
        <v>30</v>
      </c>
      <c r="F15" s="94">
        <f t="shared" ref="F15:F20" si="5">D15*E15</f>
        <v>4450</v>
      </c>
      <c r="G15" s="94">
        <v>4800.0</v>
      </c>
      <c r="H15" s="95">
        <f t="shared" ref="H15:H20" si="6">F15-G15</f>
        <v>-350</v>
      </c>
    </row>
    <row r="16" ht="14.25" customHeight="1">
      <c r="B16" s="87" t="s">
        <v>65</v>
      </c>
      <c r="C16" s="88" t="s">
        <v>268</v>
      </c>
      <c r="D16" s="89">
        <f t="shared" si="4"/>
        <v>51</v>
      </c>
      <c r="E16" s="93">
        <f>'Parâmetros'!$C$15</f>
        <v>30</v>
      </c>
      <c r="F16" s="94">
        <f t="shared" si="5"/>
        <v>1530</v>
      </c>
      <c r="G16" s="94">
        <v>2400.0</v>
      </c>
      <c r="H16" s="95">
        <f t="shared" si="6"/>
        <v>-870</v>
      </c>
    </row>
    <row r="17" ht="14.25" customHeight="1">
      <c r="B17" s="87" t="s">
        <v>66</v>
      </c>
      <c r="C17" s="88" t="s">
        <v>269</v>
      </c>
      <c r="D17" s="89">
        <f t="shared" si="4"/>
        <v>342.3333333</v>
      </c>
      <c r="E17" s="93">
        <f>'Parâmetros'!$C$16</f>
        <v>25</v>
      </c>
      <c r="F17" s="94">
        <f t="shared" si="5"/>
        <v>8558.333333</v>
      </c>
      <c r="G17" s="94">
        <v>8250.0</v>
      </c>
      <c r="H17" s="95">
        <f t="shared" si="6"/>
        <v>308.3333333</v>
      </c>
    </row>
    <row r="18" ht="14.25" customHeight="1">
      <c r="B18" s="87" t="s">
        <v>67</v>
      </c>
      <c r="C18" s="88" t="s">
        <v>271</v>
      </c>
      <c r="D18" s="89">
        <f t="shared" si="4"/>
        <v>291.3333333</v>
      </c>
      <c r="E18" s="93">
        <f>'Parâmetros'!$C$16</f>
        <v>25</v>
      </c>
      <c r="F18" s="94">
        <f t="shared" si="5"/>
        <v>7283.333333</v>
      </c>
      <c r="G18" s="94">
        <v>8250.0</v>
      </c>
      <c r="H18" s="95">
        <f t="shared" si="6"/>
        <v>-966.6666667</v>
      </c>
    </row>
    <row r="19" ht="14.25" customHeight="1">
      <c r="B19" s="87" t="s">
        <v>68</v>
      </c>
      <c r="C19" s="88" t="s">
        <v>272</v>
      </c>
      <c r="D19" s="89">
        <f t="shared" si="4"/>
        <v>136</v>
      </c>
      <c r="E19" s="93">
        <f>'Parâmetros'!$C$16</f>
        <v>25</v>
      </c>
      <c r="F19" s="94">
        <f t="shared" si="5"/>
        <v>3400</v>
      </c>
      <c r="G19" s="94">
        <v>8250.0</v>
      </c>
      <c r="H19" s="95">
        <f t="shared" si="6"/>
        <v>-4850</v>
      </c>
    </row>
    <row r="20" ht="14.25" customHeight="1">
      <c r="B20" s="87" t="s">
        <v>69</v>
      </c>
      <c r="C20" s="88" t="s">
        <v>274</v>
      </c>
      <c r="D20" s="89">
        <f t="shared" si="4"/>
        <v>17</v>
      </c>
      <c r="E20" s="93">
        <f>'Parâmetros'!$C$16</f>
        <v>25</v>
      </c>
      <c r="F20" s="94">
        <f t="shared" si="5"/>
        <v>425</v>
      </c>
      <c r="G20" s="94">
        <v>500.0</v>
      </c>
      <c r="H20" s="95">
        <f t="shared" si="6"/>
        <v>-75</v>
      </c>
    </row>
    <row r="21" ht="15.75" customHeight="1">
      <c r="B21" s="96"/>
      <c r="C21" s="97" t="s">
        <v>282</v>
      </c>
      <c r="D21" s="98">
        <f>SUM(D15:D20)</f>
        <v>986</v>
      </c>
      <c r="E21" s="96"/>
      <c r="F21" s="99">
        <f t="shared" ref="F21:H21" si="7">SUM(F15:F20)</f>
        <v>25646.66667</v>
      </c>
      <c r="G21" s="99">
        <f t="shared" si="7"/>
        <v>32450</v>
      </c>
      <c r="H21" s="100">
        <f t="shared" si="7"/>
        <v>-6803.333333</v>
      </c>
    </row>
    <row r="22" ht="15.75" customHeight="1">
      <c r="B22" s="85" t="s">
        <v>283</v>
      </c>
    </row>
    <row r="23" ht="25.5" customHeight="1">
      <c r="B23" s="86" t="s">
        <v>284</v>
      </c>
      <c r="C23" s="2"/>
      <c r="D23" s="2"/>
      <c r="E23" s="2"/>
      <c r="F23" s="2"/>
      <c r="G23" s="2"/>
      <c r="H23" s="2"/>
      <c r="I23" s="2"/>
      <c r="J23" s="3"/>
    </row>
    <row r="24" ht="15.75" customHeight="1"/>
    <row r="25" ht="15.75" customHeight="1">
      <c r="B25" s="101" t="s">
        <v>285</v>
      </c>
      <c r="C25" s="31"/>
      <c r="D25" s="62" t="s">
        <v>70</v>
      </c>
      <c r="E25" s="62" t="s">
        <v>286</v>
      </c>
    </row>
    <row r="26" ht="15.75" customHeight="1">
      <c r="B26" s="102" t="s">
        <v>287</v>
      </c>
      <c r="C26" s="31"/>
      <c r="D26" s="93">
        <f>SUM(Cronograma!$S$4:$S$21)</f>
        <v>2700</v>
      </c>
      <c r="E26" s="103">
        <f>D26/D31</f>
        <v>0.1052768391</v>
      </c>
    </row>
    <row r="27" ht="15.75" customHeight="1">
      <c r="B27" s="102" t="s">
        <v>288</v>
      </c>
      <c r="C27" s="31"/>
      <c r="D27" s="93">
        <f>SUM(Cronograma!$S$23:$S$41)</f>
        <v>2990</v>
      </c>
      <c r="E27" s="103">
        <f>D27/D31</f>
        <v>0.1165843514</v>
      </c>
    </row>
    <row r="28" ht="15.75" customHeight="1">
      <c r="B28" s="102" t="s">
        <v>289</v>
      </c>
      <c r="C28" s="31"/>
      <c r="D28" s="93">
        <f>SUM(Cronograma!$S$43:$S$69)</f>
        <v>12920</v>
      </c>
      <c r="E28" s="103">
        <f>D28/D31</f>
        <v>0.5037691708</v>
      </c>
    </row>
    <row r="29" ht="15.75" customHeight="1">
      <c r="B29" s="102" t="s">
        <v>290</v>
      </c>
      <c r="C29" s="31"/>
      <c r="D29" s="93">
        <f>SUM(Cronograma!$S$71:$S$83)</f>
        <v>5401.666667</v>
      </c>
      <c r="E29" s="103">
        <f>D29/D31</f>
        <v>0.2106186639</v>
      </c>
    </row>
    <row r="30" ht="15.75" customHeight="1">
      <c r="B30" s="102" t="s">
        <v>291</v>
      </c>
      <c r="C30" s="31"/>
      <c r="D30" s="93">
        <f>SUM(Cronograma!$S$85:$S$97)</f>
        <v>1635</v>
      </c>
      <c r="E30" s="103">
        <f>D30/D31</f>
        <v>0.06375097479</v>
      </c>
    </row>
    <row r="31" ht="15.75" customHeight="1">
      <c r="B31" s="104" t="s">
        <v>282</v>
      </c>
      <c r="C31" s="31"/>
      <c r="D31" s="105">
        <f>SUM(D26:D30)</f>
        <v>25646.66667</v>
      </c>
      <c r="E31" s="106">
        <v>1.0</v>
      </c>
    </row>
    <row r="32" ht="15.75" customHeight="1"/>
    <row r="33" ht="15.75" customHeight="1">
      <c r="B33" s="85" t="s">
        <v>292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9:C29"/>
    <mergeCell ref="B30:C30"/>
    <mergeCell ref="B31:C31"/>
    <mergeCell ref="B2:J2"/>
    <mergeCell ref="B12:J12"/>
    <mergeCell ref="B23:J23"/>
    <mergeCell ref="B25:C25"/>
    <mergeCell ref="B26:C26"/>
    <mergeCell ref="B27:C27"/>
    <mergeCell ref="B28:C28"/>
  </mergeCells>
  <conditionalFormatting sqref="H15:H20">
    <cfRule type="cellIs" dxfId="1" priority="1" operator="greaterThan">
      <formula>0</formula>
    </cfRule>
  </conditionalFormatting>
  <conditionalFormatting sqref="H15:H20">
    <cfRule type="cellIs" dxfId="2" priority="2" operator="lessThan">
      <formula>0</formula>
    </cfRule>
  </conditionalFormatting>
  <conditionalFormatting sqref="H21">
    <cfRule type="cellIs" dxfId="3" priority="3" operator="greaterThan">
      <formula>0</formula>
    </cfRule>
  </conditionalFormatting>
  <conditionalFormatting sqref="H21">
    <cfRule type="cellIs" dxfId="4" priority="4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2.0"/>
    <col customWidth="1" min="4" max="4" width="3.0"/>
    <col customWidth="1" min="5" max="5" width="58.0"/>
    <col customWidth="1" min="6" max="6" width="8.71"/>
  </cols>
  <sheetData>
    <row r="1" ht="14.25" customHeight="1"/>
    <row r="2" ht="25.5" customHeight="1">
      <c r="B2" s="86" t="s">
        <v>293</v>
      </c>
      <c r="C2" s="2"/>
      <c r="D2" s="2"/>
      <c r="E2" s="3"/>
    </row>
    <row r="3" ht="15.0" customHeight="1">
      <c r="E3" s="107" t="s">
        <v>294</v>
      </c>
    </row>
    <row r="4" ht="14.25" customHeight="1">
      <c r="B4" s="108" t="s">
        <v>295</v>
      </c>
    </row>
    <row r="5" ht="14.25" customHeight="1">
      <c r="B5" s="109" t="s">
        <v>296</v>
      </c>
      <c r="C5" s="110" t="s">
        <v>297</v>
      </c>
    </row>
    <row r="6" ht="14.25" customHeight="1">
      <c r="B6" s="109" t="s">
        <v>219</v>
      </c>
      <c r="C6" s="110" t="s">
        <v>267</v>
      </c>
    </row>
    <row r="7" ht="14.25" customHeight="1">
      <c r="B7" s="109" t="s">
        <v>298</v>
      </c>
      <c r="C7" s="110" t="s">
        <v>299</v>
      </c>
    </row>
    <row r="8" ht="14.25" customHeight="1">
      <c r="B8" s="109" t="s">
        <v>300</v>
      </c>
      <c r="C8" s="111">
        <v>46085.0</v>
      </c>
    </row>
    <row r="9" ht="14.25" customHeight="1">
      <c r="B9" s="109" t="s">
        <v>301</v>
      </c>
      <c r="C9" s="111">
        <v>46204.0</v>
      </c>
    </row>
    <row r="10" ht="14.25" customHeight="1">
      <c r="B10" s="109" t="s">
        <v>302</v>
      </c>
      <c r="C10" s="111">
        <v>46173.0</v>
      </c>
    </row>
    <row r="11" ht="14.25" customHeight="1"/>
    <row r="12" ht="14.25" customHeight="1">
      <c r="B12" s="112" t="s">
        <v>303</v>
      </c>
    </row>
    <row r="13" ht="14.25" customHeight="1">
      <c r="B13" s="109" t="s">
        <v>304</v>
      </c>
      <c r="C13" s="113">
        <v>35695.0</v>
      </c>
    </row>
    <row r="14" ht="14.25" customHeight="1">
      <c r="B14" s="109" t="s">
        <v>305</v>
      </c>
      <c r="C14" s="114">
        <f>SUM(Cronograma!$T$4:$T$97)</f>
        <v>11290</v>
      </c>
    </row>
    <row r="15" ht="14.25" customHeight="1">
      <c r="B15" s="109" t="s">
        <v>306</v>
      </c>
      <c r="C15" s="115">
        <v>30.0</v>
      </c>
    </row>
    <row r="16" ht="14.25" customHeight="1">
      <c r="B16" s="109" t="s">
        <v>307</v>
      </c>
      <c r="C16" s="115">
        <v>25.0</v>
      </c>
    </row>
    <row r="17" ht="14.25" customHeight="1"/>
    <row r="18" ht="14.25" customHeight="1">
      <c r="B18" s="108" t="s">
        <v>308</v>
      </c>
    </row>
    <row r="19" ht="14.25" customHeight="1">
      <c r="B19" s="109" t="s">
        <v>309</v>
      </c>
      <c r="C19" s="116">
        <f>SUM(Cronograma!$G$4:$G$97)</f>
        <v>1007</v>
      </c>
    </row>
    <row r="20" ht="14.25" customHeight="1">
      <c r="B20" s="109" t="s">
        <v>310</v>
      </c>
      <c r="C20" s="117">
        <f>COUNT(Cronograma!$G$4:$G$97)</f>
        <v>90</v>
      </c>
    </row>
    <row r="21" ht="15.75" customHeight="1">
      <c r="B21" s="109" t="s">
        <v>311</v>
      </c>
      <c r="C21" s="118">
        <f>SUM(Cronograma!$K$4:$K$97)/SUM(Cronograma!$G$4:$G$97)</f>
        <v>0.4317775571</v>
      </c>
    </row>
    <row r="22" ht="15.75" customHeight="1">
      <c r="B22" s="109" t="s">
        <v>312</v>
      </c>
      <c r="C22" s="118">
        <f>SUM(Cronograma!$L$4:$L$97)/SUM(Cronograma!$G$4:$G$97)</f>
        <v>0.643928854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E3:E1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3.0"/>
    <col customWidth="1" min="5" max="5" width="54.0"/>
    <col customWidth="1" min="6" max="6" width="8.71"/>
  </cols>
  <sheetData>
    <row r="1" ht="14.25" customHeight="1"/>
    <row r="2" ht="25.5" customHeight="1">
      <c r="B2" s="86" t="s">
        <v>313</v>
      </c>
      <c r="C2" s="2"/>
      <c r="D2" s="2"/>
      <c r="E2" s="3"/>
    </row>
    <row r="3" ht="15.0" customHeight="1">
      <c r="E3" s="107" t="s">
        <v>314</v>
      </c>
    </row>
    <row r="4" ht="14.25" customHeight="1">
      <c r="B4" s="108" t="s">
        <v>315</v>
      </c>
    </row>
    <row r="5" ht="14.25" customHeight="1">
      <c r="B5" s="109" t="s">
        <v>316</v>
      </c>
      <c r="C5" s="118">
        <f>'Parâmetros'!$C$21</f>
        <v>0.4317775571</v>
      </c>
    </row>
    <row r="6" ht="14.25" customHeight="1">
      <c r="B6" s="109" t="s">
        <v>317</v>
      </c>
      <c r="C6" s="118">
        <f>'Parâmetros'!$C$22</f>
        <v>0.643928854</v>
      </c>
    </row>
    <row r="7" ht="27.75" customHeight="1">
      <c r="B7" s="109" t="s">
        <v>318</v>
      </c>
      <c r="C7" s="119">
        <f>'Parâmetros'!$C$21-'Parâmetros'!$C$22</f>
        <v>-0.2121512969</v>
      </c>
    </row>
    <row r="8" ht="14.25" customHeight="1">
      <c r="B8" s="109" t="s">
        <v>319</v>
      </c>
      <c r="C8" s="110" t="s">
        <v>320</v>
      </c>
    </row>
    <row r="9" ht="27.75" customHeight="1">
      <c r="B9" s="109" t="s">
        <v>321</v>
      </c>
      <c r="C9" s="120" t="s">
        <v>322</v>
      </c>
    </row>
    <row r="10" ht="14.25" customHeight="1">
      <c r="B10" s="109" t="s">
        <v>323</v>
      </c>
      <c r="C10" s="110" t="s">
        <v>324</v>
      </c>
    </row>
    <row r="11" ht="14.25" customHeight="1">
      <c r="B11" s="109" t="s">
        <v>325</v>
      </c>
      <c r="C11" s="110" t="s">
        <v>326</v>
      </c>
    </row>
    <row r="12" ht="27.75" customHeight="1">
      <c r="B12" s="109" t="s">
        <v>327</v>
      </c>
      <c r="C12" s="120" t="s">
        <v>328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E3:E1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4.0"/>
    <col customWidth="1" min="4" max="5" width="16.0"/>
    <col customWidth="1" min="6" max="6" width="8.71"/>
  </cols>
  <sheetData>
    <row r="1" ht="14.25" customHeight="1"/>
    <row r="2" ht="25.5" customHeight="1">
      <c r="B2" s="86" t="s">
        <v>329</v>
      </c>
      <c r="C2" s="2"/>
      <c r="D2" s="2"/>
      <c r="E2" s="3"/>
    </row>
    <row r="3" ht="14.25" customHeight="1"/>
    <row r="4" ht="14.25" customHeight="1">
      <c r="B4" s="121" t="s">
        <v>55</v>
      </c>
      <c r="C4" s="121" t="s">
        <v>29</v>
      </c>
      <c r="D4" s="121" t="s">
        <v>330</v>
      </c>
      <c r="E4" s="121" t="s">
        <v>31</v>
      </c>
    </row>
    <row r="5" ht="14.25" customHeight="1">
      <c r="B5" s="87" t="s">
        <v>331</v>
      </c>
      <c r="C5" s="88" t="s">
        <v>332</v>
      </c>
      <c r="D5" s="122">
        <v>46092.0</v>
      </c>
      <c r="E5" s="87" t="str">
        <f>IF(D5&lt;='Parâmetros'!$C$10,"Concluído","Previsto")</f>
        <v>Concluído</v>
      </c>
    </row>
    <row r="6" ht="14.25" customHeight="1">
      <c r="B6" s="87" t="s">
        <v>333</v>
      </c>
      <c r="C6" s="88" t="s">
        <v>334</v>
      </c>
      <c r="D6" s="122">
        <v>46113.0</v>
      </c>
      <c r="E6" s="87" t="str">
        <f>IF(D6&lt;='Parâmetros'!$C$10,"Concluído","Previsto")</f>
        <v>Concluído</v>
      </c>
    </row>
    <row r="7" ht="14.25" customHeight="1">
      <c r="B7" s="87" t="s">
        <v>335</v>
      </c>
      <c r="C7" s="88" t="s">
        <v>336</v>
      </c>
      <c r="D7" s="122">
        <v>46176.0</v>
      </c>
      <c r="E7" s="87" t="str">
        <f>IF(D7&lt;='Parâmetros'!$C$10,"Concluído","Previsto")</f>
        <v>Previsto</v>
      </c>
    </row>
    <row r="8" ht="14.25" customHeight="1">
      <c r="B8" s="87" t="s">
        <v>337</v>
      </c>
      <c r="C8" s="88" t="s">
        <v>338</v>
      </c>
      <c r="D8" s="122">
        <v>46190.0</v>
      </c>
      <c r="E8" s="87" t="str">
        <f>IF(D8&lt;='Parâmetros'!$C$10,"Concluído","Previsto")</f>
        <v>Previsto</v>
      </c>
    </row>
    <row r="9" ht="14.25" customHeight="1">
      <c r="B9" s="87" t="s">
        <v>339</v>
      </c>
      <c r="C9" s="88" t="s">
        <v>340</v>
      </c>
      <c r="D9" s="122">
        <v>46204.0</v>
      </c>
      <c r="E9" s="87" t="str">
        <f>IF(D9&lt;='Parâmetros'!$C$10,"Concluído","Previsto")</f>
        <v>Previsto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3.0"/>
    <col customWidth="1" min="4" max="4" width="9.0"/>
    <col customWidth="1" min="5" max="5" width="72.0"/>
    <col customWidth="1" min="6" max="6" width="8.71"/>
  </cols>
  <sheetData>
    <row r="1" ht="14.25" customHeight="1"/>
    <row r="2" ht="25.5" customHeight="1">
      <c r="B2" s="86" t="s">
        <v>341</v>
      </c>
      <c r="C2" s="2"/>
      <c r="D2" s="2"/>
      <c r="E2" s="3"/>
    </row>
    <row r="3" ht="14.25" customHeight="1"/>
    <row r="4" ht="14.25" customHeight="1">
      <c r="B4" s="62" t="s">
        <v>342</v>
      </c>
      <c r="C4" s="62" t="s">
        <v>343</v>
      </c>
      <c r="D4" s="62" t="s">
        <v>37</v>
      </c>
      <c r="E4" s="62" t="s">
        <v>344</v>
      </c>
    </row>
    <row r="5" ht="30.0" customHeight="1">
      <c r="B5" s="66" t="s">
        <v>345</v>
      </c>
      <c r="C5" s="65" t="s">
        <v>346</v>
      </c>
      <c r="D5" s="123" t="s">
        <v>347</v>
      </c>
      <c r="E5" s="83" t="s">
        <v>348</v>
      </c>
    </row>
    <row r="6" ht="30.0" customHeight="1">
      <c r="B6" s="66" t="s">
        <v>349</v>
      </c>
      <c r="C6" s="65" t="s">
        <v>350</v>
      </c>
      <c r="D6" s="123" t="s">
        <v>347</v>
      </c>
      <c r="E6" s="83" t="s">
        <v>351</v>
      </c>
    </row>
    <row r="7" ht="30.0" customHeight="1">
      <c r="B7" s="66" t="s">
        <v>352</v>
      </c>
      <c r="C7" s="65" t="s">
        <v>346</v>
      </c>
      <c r="D7" s="123" t="s">
        <v>347</v>
      </c>
      <c r="E7" s="83" t="s">
        <v>353</v>
      </c>
    </row>
    <row r="8" ht="30.0" customHeight="1">
      <c r="B8" s="66" t="s">
        <v>354</v>
      </c>
      <c r="C8" s="65" t="s">
        <v>346</v>
      </c>
      <c r="D8" s="123" t="s">
        <v>347</v>
      </c>
      <c r="E8" s="83" t="s">
        <v>355</v>
      </c>
    </row>
    <row r="9" ht="30.0" customHeight="1">
      <c r="B9" s="66" t="s">
        <v>356</v>
      </c>
      <c r="C9" s="65" t="s">
        <v>357</v>
      </c>
      <c r="D9" s="124" t="s">
        <v>358</v>
      </c>
      <c r="E9" s="83" t="s">
        <v>359</v>
      </c>
    </row>
    <row r="10" ht="30.0" customHeight="1">
      <c r="B10" s="66" t="s">
        <v>360</v>
      </c>
      <c r="C10" s="65" t="s">
        <v>361</v>
      </c>
      <c r="D10" s="124" t="s">
        <v>358</v>
      </c>
      <c r="E10" s="83" t="s">
        <v>362</v>
      </c>
    </row>
    <row r="11" ht="30.0" customHeight="1">
      <c r="B11" s="66" t="s">
        <v>363</v>
      </c>
      <c r="C11" s="65" t="s">
        <v>361</v>
      </c>
      <c r="D11" s="123" t="s">
        <v>347</v>
      </c>
      <c r="E11" s="83" t="s">
        <v>364</v>
      </c>
    </row>
    <row r="12" ht="30.0" customHeight="1">
      <c r="B12" s="66" t="s">
        <v>365</v>
      </c>
      <c r="C12" s="65" t="s">
        <v>361</v>
      </c>
      <c r="D12" s="124" t="s">
        <v>358</v>
      </c>
      <c r="E12" s="83" t="s">
        <v>366</v>
      </c>
    </row>
    <row r="13" ht="30.0" customHeight="1">
      <c r="B13" s="66" t="s">
        <v>367</v>
      </c>
      <c r="C13" s="65" t="s">
        <v>368</v>
      </c>
      <c r="D13" s="125" t="s">
        <v>369</v>
      </c>
      <c r="E13" s="83" t="s">
        <v>370</v>
      </c>
    </row>
    <row r="14" ht="14.25" customHeight="1"/>
    <row r="15" ht="14.25" customHeight="1">
      <c r="B15" s="85" t="s">
        <v>371</v>
      </c>
    </row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46.0"/>
    <col customWidth="1" min="4" max="4" width="10.0"/>
    <col customWidth="1" min="5" max="5" width="12.0"/>
    <col customWidth="1" min="6" max="6" width="8.71"/>
  </cols>
  <sheetData>
    <row r="1" ht="14.25" customHeight="1">
      <c r="A1" s="5" t="s">
        <v>372</v>
      </c>
    </row>
    <row r="2" ht="14.25" customHeight="1"/>
    <row r="3" ht="14.25" customHeight="1">
      <c r="A3" s="126" t="s">
        <v>285</v>
      </c>
      <c r="B3" s="126" t="s">
        <v>373</v>
      </c>
      <c r="C3" s="126" t="s">
        <v>374</v>
      </c>
      <c r="D3" s="126" t="s">
        <v>375</v>
      </c>
    </row>
    <row r="4" ht="14.25" customHeight="1">
      <c r="A4" s="69" t="s">
        <v>287</v>
      </c>
      <c r="B4" s="69">
        <f>SUM(Cronograma!$G$4:$G$21)</f>
        <v>94</v>
      </c>
      <c r="C4" s="69">
        <f>SUM(Cronograma!$K$4:$K$21)</f>
        <v>58</v>
      </c>
      <c r="D4" s="127">
        <f t="shared" ref="D4:D8" si="1">IF(B4=0,0,C4/B4)</f>
        <v>0.6170212766</v>
      </c>
    </row>
    <row r="5" ht="14.25" customHeight="1">
      <c r="A5" s="69" t="s">
        <v>288</v>
      </c>
      <c r="B5" s="69">
        <f>SUM(Cronograma!$G$23:$G$41)</f>
        <v>112</v>
      </c>
      <c r="C5" s="69">
        <f>SUM(Cronograma!$K$23:$K$41)</f>
        <v>112</v>
      </c>
      <c r="D5" s="127">
        <f t="shared" si="1"/>
        <v>1</v>
      </c>
    </row>
    <row r="6" ht="14.25" customHeight="1">
      <c r="A6" s="69" t="s">
        <v>289</v>
      </c>
      <c r="B6" s="69">
        <f>SUM(Cronograma!$G$43:$G$69)</f>
        <v>529</v>
      </c>
      <c r="C6" s="69">
        <f>SUM(Cronograma!$K$43:$K$69)</f>
        <v>264.8</v>
      </c>
      <c r="D6" s="127">
        <f t="shared" si="1"/>
        <v>0.5005671078</v>
      </c>
    </row>
    <row r="7" ht="14.25" customHeight="1">
      <c r="A7" s="69" t="s">
        <v>290</v>
      </c>
      <c r="B7" s="69">
        <f>SUM(Cronograma!$G$71:$G$83)</f>
        <v>206</v>
      </c>
      <c r="C7" s="69">
        <f>SUM(Cronograma!$K$71:$K$83)</f>
        <v>0</v>
      </c>
      <c r="D7" s="127">
        <f t="shared" si="1"/>
        <v>0</v>
      </c>
    </row>
    <row r="8" ht="14.25" customHeight="1">
      <c r="A8" s="69" t="s">
        <v>291</v>
      </c>
      <c r="B8" s="69">
        <f>SUM(Cronograma!$G$85:$G$97)</f>
        <v>66</v>
      </c>
      <c r="C8" s="69">
        <f>SUM(Cronograma!$K$85:$K$97)</f>
        <v>0</v>
      </c>
      <c r="D8" s="127">
        <f t="shared" si="1"/>
        <v>0</v>
      </c>
    </row>
    <row r="9" ht="14.25" customHeight="1"/>
    <row r="10" ht="14.25" customHeight="1">
      <c r="A10" s="126" t="s">
        <v>376</v>
      </c>
      <c r="B10" s="126" t="s">
        <v>377</v>
      </c>
      <c r="C10" s="126" t="s">
        <v>378</v>
      </c>
    </row>
    <row r="11" ht="14.25" customHeight="1">
      <c r="A11" s="69" t="s">
        <v>379</v>
      </c>
      <c r="B11" s="69">
        <f>SUMPRODUCT((Cronograma!$E$4:$E$97&lt;=DATE(2026,3,31))*Cronograma!$G$4:$G$97)</f>
        <v>70</v>
      </c>
      <c r="C11" s="128">
        <f>B11*('Parâmetros'!$C$21/'Parâmetros'!$C$22)</f>
        <v>46.93752859</v>
      </c>
    </row>
    <row r="12" ht="14.25" customHeight="1">
      <c r="A12" s="69" t="s">
        <v>380</v>
      </c>
      <c r="B12" s="69">
        <f>SUMPRODUCT((Cronograma!$E$4:$E$97&lt;=DATE(2026,4,30))*Cronograma!$G$4:$G$97)</f>
        <v>230</v>
      </c>
      <c r="C12" s="128">
        <f>B12*('Parâmetros'!$C$21/'Parâmetros'!$C$22)</f>
        <v>154.2233082</v>
      </c>
    </row>
    <row r="13" ht="14.25" customHeight="1">
      <c r="A13" s="69" t="s">
        <v>381</v>
      </c>
      <c r="B13" s="69">
        <f>SUMPRODUCT((Cronograma!$E$4:$E$97&lt;=DATE(2026,5,31))*Cronograma!$G$4:$G$97)</f>
        <v>632</v>
      </c>
      <c r="C13" s="128">
        <f>B13*('Parâmetros'!$C$21/'Parâmetros'!$C$22)</f>
        <v>423.7788296</v>
      </c>
    </row>
    <row r="14" ht="14.25" customHeight="1">
      <c r="A14" s="69" t="s">
        <v>382</v>
      </c>
      <c r="B14" s="69">
        <f>SUMPRODUCT((Cronograma!$E$4:$E$97&lt;=DATE(2026,6,30))*Cronograma!$G$4:$G$97)</f>
        <v>979</v>
      </c>
    </row>
    <row r="15" ht="14.25" customHeight="1">
      <c r="A15" s="69" t="s">
        <v>383</v>
      </c>
      <c r="B15" s="69">
        <f>SUMPRODUCT((Cronograma!$E$4:$E$97&lt;=DATE(2026,7,31))*Cronograma!$G$4:$G$97)</f>
        <v>1007</v>
      </c>
    </row>
    <row r="16" ht="14.25" customHeight="1"/>
    <row r="17" ht="14.25" customHeight="1">
      <c r="A17" s="126" t="s">
        <v>384</v>
      </c>
      <c r="B17" s="126" t="s">
        <v>385</v>
      </c>
      <c r="C17" s="126" t="s">
        <v>262</v>
      </c>
      <c r="D17" s="126" t="s">
        <v>386</v>
      </c>
    </row>
    <row r="18" ht="14.25" customHeight="1">
      <c r="A18" s="69" t="s">
        <v>43</v>
      </c>
      <c r="B18" s="127">
        <f t="shared" ref="B18:B23" si="2">C18/D18</f>
        <v>0.9270833333</v>
      </c>
      <c r="C18" s="128">
        <f>'Recursos e Custos'!$F$5</f>
        <v>148.3333333</v>
      </c>
      <c r="D18" s="69">
        <v>160.0</v>
      </c>
    </row>
    <row r="19" ht="14.25" customHeight="1">
      <c r="A19" s="69" t="s">
        <v>65</v>
      </c>
      <c r="B19" s="127">
        <f t="shared" si="2"/>
        <v>0.6375</v>
      </c>
      <c r="C19" s="128">
        <f>'Recursos e Custos'!$F$6</f>
        <v>51</v>
      </c>
      <c r="D19" s="69">
        <v>80.0</v>
      </c>
    </row>
    <row r="20" ht="14.25" customHeight="1">
      <c r="A20" s="69" t="s">
        <v>66</v>
      </c>
      <c r="B20" s="127">
        <f t="shared" si="2"/>
        <v>1.037373737</v>
      </c>
      <c r="C20" s="128">
        <f>'Recursos e Custos'!$F$7</f>
        <v>342.3333333</v>
      </c>
      <c r="D20" s="69">
        <v>330.0</v>
      </c>
    </row>
    <row r="21" ht="15.75" customHeight="1">
      <c r="A21" s="69" t="s">
        <v>67</v>
      </c>
      <c r="B21" s="127">
        <f t="shared" si="2"/>
        <v>0.8828282828</v>
      </c>
      <c r="C21" s="128">
        <f>'Recursos e Custos'!$F$8</f>
        <v>291.3333333</v>
      </c>
      <c r="D21" s="69">
        <v>330.0</v>
      </c>
    </row>
    <row r="22" ht="15.75" customHeight="1">
      <c r="A22" s="69" t="s">
        <v>68</v>
      </c>
      <c r="B22" s="127">
        <f t="shared" si="2"/>
        <v>0.4121212121</v>
      </c>
      <c r="C22" s="128">
        <f>'Recursos e Custos'!$F$9</f>
        <v>136</v>
      </c>
      <c r="D22" s="69">
        <v>330.0</v>
      </c>
    </row>
    <row r="23" ht="15.75" customHeight="1">
      <c r="A23" s="69" t="s">
        <v>69</v>
      </c>
      <c r="B23" s="127">
        <f t="shared" si="2"/>
        <v>0.85</v>
      </c>
      <c r="C23" s="128">
        <f>'Recursos e Custos'!$F$10</f>
        <v>17</v>
      </c>
      <c r="D23" s="69">
        <v>20.0</v>
      </c>
    </row>
    <row r="24" ht="15.75" customHeight="1"/>
    <row r="25" ht="15.75" customHeight="1">
      <c r="A25" s="126" t="s">
        <v>212</v>
      </c>
      <c r="B25" s="126" t="s">
        <v>387</v>
      </c>
    </row>
    <row r="26" ht="15.75" customHeight="1">
      <c r="A26" s="69" t="s">
        <v>223</v>
      </c>
      <c r="B26" s="69">
        <f>SUMIF(Riscos!$D$5:$D$30,A26,Riscos!$G$5:$G$30)</f>
        <v>69</v>
      </c>
    </row>
    <row r="27" ht="15.75" customHeight="1">
      <c r="A27" s="69" t="s">
        <v>226</v>
      </c>
      <c r="B27" s="69">
        <f>SUMIF(Riscos!$D$5:$D$30,A27,Riscos!$G$5:$G$30)</f>
        <v>80</v>
      </c>
    </row>
    <row r="28" ht="15.75" customHeight="1">
      <c r="A28" s="69" t="s">
        <v>217</v>
      </c>
      <c r="B28" s="69">
        <f>SUMIF(Riscos!$D$5:$D$30,A28,Riscos!$G$5:$G$30)</f>
        <v>58</v>
      </c>
    </row>
    <row r="29" ht="15.75" customHeight="1">
      <c r="A29" s="69" t="s">
        <v>243</v>
      </c>
      <c r="B29" s="69">
        <f>SUMIF(Riscos!$D$5:$D$30,A29,Riscos!$G$5:$G$30)</f>
        <v>13</v>
      </c>
    </row>
    <row r="30" ht="15.75" customHeight="1">
      <c r="A30" s="69" t="s">
        <v>241</v>
      </c>
      <c r="B30" s="69">
        <f>SUMIF(Riscos!$D$5:$D$30,A30,Riscos!$G$5:$G$30)</f>
        <v>6</v>
      </c>
    </row>
    <row r="31" ht="15.75" customHeight="1"/>
    <row r="32" ht="15.75" customHeight="1">
      <c r="A32" s="126" t="s">
        <v>285</v>
      </c>
      <c r="B32" s="126" t="s">
        <v>388</v>
      </c>
      <c r="C32" s="126" t="s">
        <v>389</v>
      </c>
    </row>
    <row r="33" ht="15.75" customHeight="1">
      <c r="A33" s="69" t="s">
        <v>287</v>
      </c>
      <c r="B33" s="69">
        <f>SUM(Cronograma!$L$4:$L$21)</f>
        <v>74.43635599</v>
      </c>
      <c r="C33" s="69">
        <f>SUM(Cronograma!$K$4:$K$21)</f>
        <v>58</v>
      </c>
    </row>
    <row r="34" ht="15.75" customHeight="1">
      <c r="A34" s="69" t="s">
        <v>288</v>
      </c>
      <c r="B34" s="69">
        <f>SUM(Cronograma!$L$23:$L$41)</f>
        <v>112</v>
      </c>
      <c r="C34" s="69">
        <f>SUM(Cronograma!$K$23:$K$41)</f>
        <v>112</v>
      </c>
    </row>
    <row r="35" ht="15.75" customHeight="1">
      <c r="A35" s="69" t="s">
        <v>289</v>
      </c>
      <c r="B35" s="69">
        <f>SUM(Cronograma!$L$43:$L$69)</f>
        <v>462</v>
      </c>
      <c r="C35" s="69">
        <f>SUM(Cronograma!$K$43:$K$69)</f>
        <v>264.8</v>
      </c>
    </row>
    <row r="36" ht="15.75" customHeight="1">
      <c r="A36" s="69" t="s">
        <v>290</v>
      </c>
      <c r="B36" s="69">
        <f>SUM(Cronograma!$L$71:$L$83)</f>
        <v>0</v>
      </c>
      <c r="C36" s="69">
        <f>SUM(Cronograma!$K$71:$K$83)</f>
        <v>0</v>
      </c>
    </row>
    <row r="37" ht="15.75" customHeight="1">
      <c r="A37" s="69" t="s">
        <v>291</v>
      </c>
      <c r="B37" s="69">
        <f>SUM(Cronograma!$L$85:$L$97)</f>
        <v>0</v>
      </c>
      <c r="C37" s="69">
        <f>SUM(Cronograma!$K$85:$K$97)</f>
        <v>0</v>
      </c>
    </row>
    <row r="38" ht="15.75" customHeight="1"/>
    <row r="39" ht="15.75" customHeight="1">
      <c r="A39" s="5" t="s">
        <v>390</v>
      </c>
    </row>
    <row r="40" ht="15.75" customHeight="1">
      <c r="A40" s="69" t="s">
        <v>391</v>
      </c>
      <c r="B40" s="127">
        <f>IF('Parâmetros'!$C$22=0,0,'Parâmetros'!$C$21/'Parâmetros'!$C$22)</f>
        <v>0.6705361228</v>
      </c>
    </row>
    <row r="41" ht="15.75" customHeight="1">
      <c r="A41" s="69" t="s">
        <v>392</v>
      </c>
      <c r="B41" s="129">
        <f>'Parâmetros'!$C$21*'Parâmetros'!$C$13</f>
        <v>15412.2999</v>
      </c>
    </row>
    <row r="42" ht="15.75" customHeight="1">
      <c r="A42" s="69" t="s">
        <v>393</v>
      </c>
      <c r="B42" s="69">
        <f>IF('Parâmetros'!$C$14=0,0,('Parâmetros'!$C$21*'Parâmetros'!$C$13)/'Parâmetros'!$C$14)</f>
        <v>1.365128423</v>
      </c>
    </row>
    <row r="43" ht="15.75" customHeight="1">
      <c r="A43" s="69" t="s">
        <v>394</v>
      </c>
      <c r="B43" s="129">
        <f>'Parâmetros'!$C$22*'Parâmetros'!$C$13</f>
        <v>22985.04044</v>
      </c>
    </row>
    <row r="44" ht="15.75" customHeight="1">
      <c r="A44" s="69" t="s">
        <v>395</v>
      </c>
      <c r="B44" s="70">
        <f>('Parâmetros'!$C$21*'Parâmetros'!$C$13)-'Parâmetros'!$C$14</f>
        <v>4122.299901</v>
      </c>
    </row>
    <row r="45" ht="15.75" customHeight="1">
      <c r="A45" s="69" t="s">
        <v>396</v>
      </c>
      <c r="B45" s="70">
        <f>('Parâmetros'!$C$21*'Parâmetros'!$C$13)-('Parâmetros'!$C$22*'Parâmetros'!$C$13)</f>
        <v>-7572.740543</v>
      </c>
    </row>
    <row r="46" ht="15.75" customHeight="1">
      <c r="A46" s="69" t="s">
        <v>397</v>
      </c>
      <c r="B46" s="129">
        <f>'Parâmetros'!$C$14/'Parâmetros'!$C$13</f>
        <v>0.316290797</v>
      </c>
    </row>
    <row r="47" ht="15.75" customHeight="1"/>
    <row r="48" ht="15.75" customHeight="1">
      <c r="A48" s="5" t="s">
        <v>398</v>
      </c>
    </row>
    <row r="49" ht="15.75" customHeight="1">
      <c r="A49" s="69" t="s">
        <v>399</v>
      </c>
      <c r="B49" s="69" t="s">
        <v>400</v>
      </c>
      <c r="C49" s="69" t="s">
        <v>36</v>
      </c>
      <c r="D49" s="69" t="s">
        <v>401</v>
      </c>
      <c r="E49" s="69" t="s">
        <v>34</v>
      </c>
    </row>
    <row r="50" ht="15.75" customHeight="1">
      <c r="A50" s="69">
        <v>1.0</v>
      </c>
      <c r="B50" s="69">
        <f t="array" ref="B50">INDEX(Riscos!$B$5:$B$30,MATCH(LARGE(Riscos!$L$5:$L$30,1),Riscos!$L$5:$L$30,0))</f>
        <v>7</v>
      </c>
      <c r="C50" s="69" t="str">
        <f t="array" ref="C50">INDEX(Riscos!$C$5:$C$30,MATCH(LARGE(Riscos!$L$5:$L$30,1),Riscos!$L$5:$L$30,0))</f>
        <v>Saída de um integrante da equipe durante o projeto</v>
      </c>
      <c r="D50" s="69">
        <f t="array" ref="D50">INDEX(Riscos!$G$5:$G$30,MATCH(LARGE(Riscos!$L$5:$L$30,1),Riscos!$L$5:$L$30,0))</f>
        <v>20</v>
      </c>
      <c r="E50" s="69" t="str">
        <f t="array" ref="E50">INDEX(Riscos!$H$5:$H$30,MATCH(LARGE(Riscos!$L$5:$L$30,1),Riscos!$L$5:$L$30,0))</f>
        <v>🔴 Alto</v>
      </c>
    </row>
    <row r="51" ht="15.75" customHeight="1">
      <c r="A51" s="69">
        <v>2.0</v>
      </c>
      <c r="B51" s="69">
        <f t="array" ref="B51">INDEX(Riscos!$B$5:$B$30,MATCH(LARGE(Riscos!$L$5:$L$30,2),Riscos!$L$5:$L$30,0))</f>
        <v>22</v>
      </c>
      <c r="C51" s="69" t="str">
        <f t="array" ref="C51">INDEX(Riscos!$C$5:$C$30,MATCH(LARGE(Riscos!$L$5:$L$30,2),Riscos!$L$5:$L$30,0))</f>
        <v>Atraso no prazo final 01/07 devido à defasagem e redistribuição (MUD-01)</v>
      </c>
      <c r="D51" s="69">
        <f t="array" ref="D51">INDEX(Riscos!$G$5:$G$30,MATCH(LARGE(Riscos!$L$5:$L$30,2),Riscos!$L$5:$L$30,0))</f>
        <v>16</v>
      </c>
      <c r="E51" s="69" t="str">
        <f t="array" ref="E51">INDEX(Riscos!$H$5:$H$30,MATCH(LARGE(Riscos!$L$5:$L$30,2),Riscos!$L$5:$L$30,0))</f>
        <v>🔴 Alto</v>
      </c>
    </row>
    <row r="52" ht="15.75" customHeight="1">
      <c r="A52" s="69">
        <v>3.0</v>
      </c>
      <c r="B52" s="69">
        <f t="array" ref="B52">INDEX(Riscos!$B$5:$B$30,MATCH(LARGE(Riscos!$L$5:$L$30,3),Riscos!$L$5:$L$30,0))</f>
        <v>2</v>
      </c>
      <c r="C52" s="69" t="str">
        <f t="array" ref="C52">INDEX(Riscos!$C$5:$C$30,MATCH(LARGE(Riscos!$L$5:$L$30,3),Riscos!$L$5:$L$30,0))</f>
        <v>Mudanças no escopo não controladas</v>
      </c>
      <c r="D52" s="69">
        <f t="array" ref="D52">INDEX(Riscos!$G$5:$G$30,MATCH(LARGE(Riscos!$L$5:$L$30,3),Riscos!$L$5:$L$30,0))</f>
        <v>12</v>
      </c>
      <c r="E52" s="69" t="str">
        <f t="array" ref="E52">INDEX(Riscos!$H$5:$H$30,MATCH(LARGE(Riscos!$L$5:$L$30,3),Riscos!$L$5:$L$30,0))</f>
        <v>🟡 Médio</v>
      </c>
    </row>
    <row r="53" ht="15.75" customHeight="1">
      <c r="A53" s="69">
        <v>4.0</v>
      </c>
      <c r="B53" s="69">
        <f t="array" ref="B53">INDEX(Riscos!$B$5:$B$30,MATCH(LARGE(Riscos!$L$5:$L$30,4),Riscos!$L$5:$L$30,0))</f>
        <v>6</v>
      </c>
      <c r="C53" s="69" t="str">
        <f t="array" ref="C53">INDEX(Riscos!$C$5:$C$30,MATCH(LARGE(Riscos!$L$5:$L$30,4),Riscos!$L$5:$L$30,0))</f>
        <v>Disponibilidade limitada da equipe impactando o cronograma</v>
      </c>
      <c r="D53" s="69">
        <f t="array" ref="D53">INDEX(Riscos!$G$5:$G$30,MATCH(LARGE(Riscos!$L$5:$L$30,4),Riscos!$L$5:$L$30,0))</f>
        <v>12</v>
      </c>
      <c r="E53" s="69" t="str">
        <f t="array" ref="E53">INDEX(Riscos!$H$5:$H$30,MATCH(LARGE(Riscos!$L$5:$L$30,4),Riscos!$L$5:$L$30,0))</f>
        <v>🟡 Médio</v>
      </c>
    </row>
    <row r="54" ht="15.75" customHeight="1">
      <c r="A54" s="69">
        <v>5.0</v>
      </c>
      <c r="B54" s="69">
        <f t="array" ref="B54">INDEX(Riscos!$B$5:$B$30,MATCH(LARGE(Riscos!$L$5:$L$30,5),Riscos!$L$5:$L$30,0))</f>
        <v>12</v>
      </c>
      <c r="C54" s="69" t="str">
        <f t="array" ref="C54">INDEX(Riscos!$C$5:$C$30,MATCH(LARGE(Riscos!$L$5:$L$30,5),Riscos!$L$5:$L$30,0))</f>
        <v>Mudanças estruturais em frameworks suportados quebrando os templates gerados</v>
      </c>
      <c r="D54" s="69">
        <f t="array" ref="D54">INDEX(Riscos!$G$5:$G$30,MATCH(LARGE(Riscos!$L$5:$L$30,5),Riscos!$L$5:$L$30,0))</f>
        <v>12</v>
      </c>
      <c r="E54" s="69" t="str">
        <f t="array" ref="E54">INDEX(Riscos!$H$5:$H$30,MATCH(LARGE(Riscos!$L$5:$L$30,5),Riscos!$L$5:$L$30,0))</f>
        <v>🟡 Médio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2026-06-01T01:48:29Z</dcterms:created>
  <dc:creator>openpyxl</dc:creator>
</cp:coreProperties>
</file>