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Parâmetros" sheetId="2" r:id="rId5"/>
    <sheet state="visible" name="Atividades" sheetId="3" r:id="rId6"/>
    <sheet state="visible" name="Riscos" sheetId="4" r:id="rId7"/>
    <sheet state="visible" name="Marcos" sheetId="5" r:id="rId8"/>
    <sheet state="visible" name="Entregas" sheetId="6" r:id="rId9"/>
    <sheet state="visible" name="Custos" sheetId="7" r:id="rId10"/>
    <sheet state="visible" name="Problemas" sheetId="8" r:id="rId11"/>
    <sheet state="visible" name="Análise e Decisões" sheetId="9" r:id="rId12"/>
  </sheets>
  <definedNames/>
  <calcPr/>
  <extLst>
    <ext uri="GoogleSheetsCustomDataVersion2">
      <go:sheetsCustomData xmlns:go="http://customooxmlschemas.google.com/" r:id="rId13" roundtripDataChecksum="c8N6BcpsCKJGYHHdAIx7Nj7eIzD4Bundv2h/hrEEsnU="/>
    </ext>
  </extLst>
</workbook>
</file>

<file path=xl/sharedStrings.xml><?xml version="1.0" encoding="utf-8"?>
<sst xmlns="http://schemas.openxmlformats.org/spreadsheetml/2006/main" count="533" uniqueCount="388">
  <si>
    <t>📊 DASHBOARD DE GESTÃO DE PROJETOS DE TI</t>
  </si>
  <si>
    <t>STATUS GERAL</t>
  </si>
  <si>
    <t>% DE CONCLUSÃO</t>
  </si>
  <si>
    <t>ADERÊNCIA DE ENTREGAS</t>
  </si>
  <si>
    <t>ATIVIDADES ATRASADAS</t>
  </si>
  <si>
    <t>ORÇAMENTO CONSUMIDO</t>
  </si>
  <si>
    <t>⏱  INDICADORES DE PRAZO E CUSTO (EVM)</t>
  </si>
  <si>
    <t>Indicador</t>
  </si>
  <si>
    <t>Valor</t>
  </si>
  <si>
    <t>Faixa</t>
  </si>
  <si>
    <t>Semáforo</t>
  </si>
  <si>
    <t>Interpretação</t>
  </si>
  <si>
    <t>CPI - Índice de Desempenho de Custo</t>
  </si>
  <si>
    <t>≥ 0,95</t>
  </si>
  <si>
    <t>●</t>
  </si>
  <si>
    <t>SPI - Índice de Desempenho de Prazo</t>
  </si>
  <si>
    <t>CV - Variação de Custo (R$)</t>
  </si>
  <si>
    <t>≥ 0</t>
  </si>
  <si>
    <t>Aderência de Entregas (%)</t>
  </si>
  <si>
    <t>≥ 90%</t>
  </si>
  <si>
    <t>📈 INDICADORES VISUAIS - VISÃO GRÁFICA</t>
  </si>
  <si>
    <t>💰 EVOLUÇÃO DE CUSTOS E ENTREGAS</t>
  </si>
  <si>
    <t>🎯 ANÁLISE DE RISCOS E TENDÊNCIA DE ENTREGAS</t>
  </si>
  <si>
    <t>🎯 PRÓXIMOS MARCOS E TOP RISCOS</t>
  </si>
  <si>
    <t>🎯 PRÓXIMOS MARCOS</t>
  </si>
  <si>
    <t>⚠ TOP RISCOS CRÍTICOS</t>
  </si>
  <si>
    <t>ID</t>
  </si>
  <si>
    <t>Marco</t>
  </si>
  <si>
    <t>Data Prevista</t>
  </si>
  <si>
    <t>Data Realizada</t>
  </si>
  <si>
    <t>Descrição</t>
  </si>
  <si>
    <t>Severidade</t>
  </si>
  <si>
    <t>Categoria</t>
  </si>
  <si>
    <t>🚨 ATIVIDADES ATRASADAS</t>
  </si>
  <si>
    <t>🛑 PROBLEMAS / IMPEDIMENTOS</t>
  </si>
  <si>
    <t>Atividade</t>
  </si>
  <si>
    <t>Atraso (dias)</t>
  </si>
  <si>
    <t>% Concl.</t>
  </si>
  <si>
    <t>Prioridade</t>
  </si>
  <si>
    <t>Status</t>
  </si>
  <si>
    <t>AUX_Status</t>
  </si>
  <si>
    <t>AUX_Qtd</t>
  </si>
  <si>
    <t>AUX_Categoria</t>
  </si>
  <si>
    <t>AUX_Valor</t>
  </si>
  <si>
    <t>Qtd</t>
  </si>
  <si>
    <t>Concluídas</t>
  </si>
  <si>
    <t>Consumido</t>
  </si>
  <si>
    <t>Crítico (≥15)</t>
  </si>
  <si>
    <t>Alta</t>
  </si>
  <si>
    <t>Em Andamento</t>
  </si>
  <si>
    <t>Disponível</t>
  </si>
  <si>
    <t>Médio (8-14)</t>
  </si>
  <si>
    <t>Média</t>
  </si>
  <si>
    <t>Atrasadas</t>
  </si>
  <si>
    <t>Baixo (≤7)</t>
  </si>
  <si>
    <t>Baixa</t>
  </si>
  <si>
    <t>Não Iniciadas</t>
  </si>
  <si>
    <t>Severidade Total</t>
  </si>
  <si>
    <t>Técnico</t>
  </si>
  <si>
    <t>Escopo</t>
  </si>
  <si>
    <t>Recursos</t>
  </si>
  <si>
    <t>Segurança</t>
  </si>
  <si>
    <t>Custo</t>
  </si>
  <si>
    <t>Pessoas</t>
  </si>
  <si>
    <t>Infra</t>
  </si>
  <si>
    <t>Externo</t>
  </si>
  <si>
    <t>PARÂMETROS DO PROJETO</t>
  </si>
  <si>
    <t>Nome do Projeto</t>
  </si>
  <si>
    <t>Kybernus CLI</t>
  </si>
  <si>
    <t>💡 Esta aba centraliza todas as variáveis do projeto.</t>
  </si>
  <si>
    <t>Gerente do Projeto</t>
  </si>
  <si>
    <t>Guilherme Marafon</t>
  </si>
  <si>
    <t xml:space="preserve">    Alterando os valores aqui, o Dashboard se atualiza automaticamente.</t>
  </si>
  <si>
    <t>Sponsor</t>
  </si>
  <si>
    <t>Diretor de TI - Roberto Lima</t>
  </si>
  <si>
    <t xml:space="preserve">    Células azul-claras = rótulos | Células brancas = valores editáveis.</t>
  </si>
  <si>
    <t>Data de Início</t>
  </si>
  <si>
    <t>01/02/2026</t>
  </si>
  <si>
    <t>Data de Término Planejada</t>
  </si>
  <si>
    <t>30/11/2026</t>
  </si>
  <si>
    <t>Data de Status (Reporte)</t>
  </si>
  <si>
    <t>20/05/2026</t>
  </si>
  <si>
    <t>Orçamento Planejado (R$)</t>
  </si>
  <si>
    <t>Custo Real Acumulado (R$)</t>
  </si>
  <si>
    <t>Valor Agregado - EV (R$)</t>
  </si>
  <si>
    <t>Total de Entregas Planejadas</t>
  </si>
  <si>
    <t>Total de Entregas Realizadas</t>
  </si>
  <si>
    <t>Total de Atividades</t>
  </si>
  <si>
    <t>Atividades Concluídas</t>
  </si>
  <si>
    <t>Atividades Em Andamento</t>
  </si>
  <si>
    <t>Atividades Atrasadas</t>
  </si>
  <si>
    <t>Atividades Não Iniciadas</t>
  </si>
  <si>
    <t>LISTA DE ATIVIDADES DO PROJETO</t>
  </si>
  <si>
    <t>Responsável</t>
  </si>
  <si>
    <t>Início Planejado</t>
  </si>
  <si>
    <t>Fim Planejado</t>
  </si>
  <si>
    <t>% Concluído</t>
  </si>
  <si>
    <t>Dias de Atraso</t>
  </si>
  <si>
    <t>A01</t>
  </si>
  <si>
    <t>Levantamento de requisitos</t>
  </si>
  <si>
    <t>Equipe Análise</t>
  </si>
  <si>
    <t>28/02/2026</t>
  </si>
  <si>
    <t>Concluído</t>
  </si>
  <si>
    <t>A02</t>
  </si>
  <si>
    <t>Modelagem de processos AS-IS</t>
  </si>
  <si>
    <t>10/02/2026</t>
  </si>
  <si>
    <t>10/03/2026</t>
  </si>
  <si>
    <t>A03</t>
  </si>
  <si>
    <t>Modelagem de processos TO-BE</t>
  </si>
  <si>
    <t>01/03/2026</t>
  </si>
  <si>
    <t>31/03/2026</t>
  </si>
  <si>
    <t>A04</t>
  </si>
  <si>
    <t>Arquitetura de solução</t>
  </si>
  <si>
    <t>Arquiteto TI</t>
  </si>
  <si>
    <t>15/03/2026</t>
  </si>
  <si>
    <t>15/04/2026</t>
  </si>
  <si>
    <t>A05</t>
  </si>
  <si>
    <t>Setup de ambiente DEV</t>
  </si>
  <si>
    <t>Infraestrutura</t>
  </si>
  <si>
    <t>01/04/2026</t>
  </si>
  <si>
    <t>20/04/2026</t>
  </si>
  <si>
    <t>A06</t>
  </si>
  <si>
    <t>Desenvolvimento - Contas a Pagar</t>
  </si>
  <si>
    <t>Dev Backend</t>
  </si>
  <si>
    <t>A07</t>
  </si>
  <si>
    <t>Desenvolvimento - Contas a Receber</t>
  </si>
  <si>
    <t>01/05/2026</t>
  </si>
  <si>
    <t>30/05/2026</t>
  </si>
  <si>
    <t>A08</t>
  </si>
  <si>
    <t>Desenvolvimento - Fluxo de Caixa</t>
  </si>
  <si>
    <t>10/05/2026</t>
  </si>
  <si>
    <t>10/06/2026</t>
  </si>
  <si>
    <t>A09</t>
  </si>
  <si>
    <t>Integração com Banco - API</t>
  </si>
  <si>
    <t>Dev Integração</t>
  </si>
  <si>
    <t>15/05/2026</t>
  </si>
  <si>
    <t>Atrasado</t>
  </si>
  <si>
    <t>A10</t>
  </si>
  <si>
    <t>Integração com SAP</t>
  </si>
  <si>
    <t>05/05/2026</t>
  </si>
  <si>
    <t>18/05/2026</t>
  </si>
  <si>
    <t>A11</t>
  </si>
  <si>
    <t>Interface Web - Painéis</t>
  </si>
  <si>
    <t>Dev Frontend</t>
  </si>
  <si>
    <t>A12</t>
  </si>
  <si>
    <t>Interface Web - Relatórios</t>
  </si>
  <si>
    <t>A13</t>
  </si>
  <si>
    <t>Migração de dados legados</t>
  </si>
  <si>
    <t>DBA</t>
  </si>
  <si>
    <t>12/05/2026</t>
  </si>
  <si>
    <t>A14</t>
  </si>
  <si>
    <t>Testes unitários</t>
  </si>
  <si>
    <t>QA</t>
  </si>
  <si>
    <t>A15</t>
  </si>
  <si>
    <t>Testes integrados</t>
  </si>
  <si>
    <t>01/06/2026</t>
  </si>
  <si>
    <t>20/06/2026</t>
  </si>
  <si>
    <t>Não Iniciado</t>
  </si>
  <si>
    <t>A16</t>
  </si>
  <si>
    <t>Testes de homologação (UAT)</t>
  </si>
  <si>
    <t>QA + Usuários</t>
  </si>
  <si>
    <t>21/06/2026</t>
  </si>
  <si>
    <t>10/07/2026</t>
  </si>
  <si>
    <t>A17</t>
  </si>
  <si>
    <t>Treinamento de usuários</t>
  </si>
  <si>
    <t>Equipe Treina.</t>
  </si>
  <si>
    <t>11/07/2026</t>
  </si>
  <si>
    <t>30/07/2026</t>
  </si>
  <si>
    <t>A18</t>
  </si>
  <si>
    <t>Plano de Go-Live</t>
  </si>
  <si>
    <t>PMO</t>
  </si>
  <si>
    <t>01/08/2026</t>
  </si>
  <si>
    <t>15/08/2026</t>
  </si>
  <si>
    <t>A19</t>
  </si>
  <si>
    <t>Go-Live em produção</t>
  </si>
  <si>
    <t>Equipe Toda</t>
  </si>
  <si>
    <t>16/08/2026</t>
  </si>
  <si>
    <t>20/08/2026</t>
  </si>
  <si>
    <t>A20</t>
  </si>
  <si>
    <t>Estabilização pós Go-Live</t>
  </si>
  <si>
    <t>Suporte</t>
  </si>
  <si>
    <t>21/08/2026</t>
  </si>
  <si>
    <t>30/09/2026</t>
  </si>
  <si>
    <t>A21</t>
  </si>
  <si>
    <t>Documentação técnica módulos</t>
  </si>
  <si>
    <t>Tech Writer</t>
  </si>
  <si>
    <t>A22</t>
  </si>
  <si>
    <t>Revisão de segurança</t>
  </si>
  <si>
    <t>Segurança TI</t>
  </si>
  <si>
    <t>16/05/2026</t>
  </si>
  <si>
    <t>A23</t>
  </si>
  <si>
    <t>Pentest inicial</t>
  </si>
  <si>
    <t>A24</t>
  </si>
  <si>
    <t>Aprovação compliance</t>
  </si>
  <si>
    <t>Jurídico</t>
  </si>
  <si>
    <t>17/05/2026</t>
  </si>
  <si>
    <t>MATRIZ DE RISCOS</t>
  </si>
  <si>
    <t>Descrição do Risco</t>
  </si>
  <si>
    <t>Probabilidade (1-5)</t>
  </si>
  <si>
    <t>Impacto (1-5)</t>
  </si>
  <si>
    <t>Resposta</t>
  </si>
  <si>
    <t>Qtd Riscos</t>
  </si>
  <si>
    <t>R01</t>
  </si>
  <si>
    <t>Atraso na integração com SAP por dependência de fornecedor externo</t>
  </si>
  <si>
    <t>Mitigar - reuniões semanais c/ fornecedor e plano B</t>
  </si>
  <si>
    <t>R02</t>
  </si>
  <si>
    <t>Mudança de escopo solicitada pela área financeira</t>
  </si>
  <si>
    <t>Aceitar com controle de mudança formal</t>
  </si>
  <si>
    <t>R03</t>
  </si>
  <si>
    <t>Indisponibilidade de usuários-chave para UAT</t>
  </si>
  <si>
    <t>Mitigar - alocar suplentes treinados</t>
  </si>
  <si>
    <t>R04</t>
  </si>
  <si>
    <t>Falhas de segurança detectadas em pentest</t>
  </si>
  <si>
    <t>Mitigar - revisão antecipada e patches</t>
  </si>
  <si>
    <t>R05</t>
  </si>
  <si>
    <t>Estouro de orçamento por horas extras de desenvolvimento</t>
  </si>
  <si>
    <t>Monitorar e reaprovar contingência</t>
  </si>
  <si>
    <t>R06</t>
  </si>
  <si>
    <t>Resistência de usuários à nova interface</t>
  </si>
  <si>
    <t>Mitigar - plano de change management</t>
  </si>
  <si>
    <t>R07</t>
  </si>
  <si>
    <t>Performance abaixo do esperado em volumes reais</t>
  </si>
  <si>
    <t>Mitigar - testes de carga em ambiente espelho</t>
  </si>
  <si>
    <t>R08</t>
  </si>
  <si>
    <t>Indisponibilidade do ambiente em cloud</t>
  </si>
  <si>
    <t>Transferir - SLA reforçado com provedor</t>
  </si>
  <si>
    <t>R09</t>
  </si>
  <si>
    <t>Saída de membro-chave da equipe técnica</t>
  </si>
  <si>
    <t>Mitigar - pareamento e documentação</t>
  </si>
  <si>
    <t>R10</t>
  </si>
  <si>
    <t>Mudança regulatória em compliance financeiro</t>
  </si>
  <si>
    <t>Monitorar - acompanhar publicações regulatórias</t>
  </si>
  <si>
    <t>MARCOS DO PROJETO</t>
  </si>
  <si>
    <t>Data Planejada</t>
  </si>
  <si>
    <t>Observação</t>
  </si>
  <si>
    <t>M01</t>
  </si>
  <si>
    <t>Kick-off do projeto</t>
  </si>
  <si>
    <t>Realizado conforme planejado</t>
  </si>
  <si>
    <t>M02</t>
  </si>
  <si>
    <t>Aprovação de requisitos</t>
  </si>
  <si>
    <t>Aprovado pelo sponsor</t>
  </si>
  <si>
    <t>M03</t>
  </si>
  <si>
    <t>Aprovação da arquitetura</t>
  </si>
  <si>
    <t>Comitê técnico aprovou</t>
  </si>
  <si>
    <t>M04</t>
  </si>
  <si>
    <t>Encerramento da fase de desenvolvimento</t>
  </si>
  <si>
    <t>Risco de atraso de 1 semana</t>
  </si>
  <si>
    <t>M05</t>
  </si>
  <si>
    <t>Início dos testes integrados</t>
  </si>
  <si>
    <t>Próximo</t>
  </si>
  <si>
    <t>Depende de fechamento do DEV</t>
  </si>
  <si>
    <t>M06</t>
  </si>
  <si>
    <t>Conclusão do UAT</t>
  </si>
  <si>
    <t>Usuários-chave já notificados</t>
  </si>
  <si>
    <t>M07</t>
  </si>
  <si>
    <t>Treinamento concluído</t>
  </si>
  <si>
    <t>Material em produção</t>
  </si>
  <si>
    <t>M08</t>
  </si>
  <si>
    <t>Janela de corte planejada</t>
  </si>
  <si>
    <t>M09</t>
  </si>
  <si>
    <t>Encerramento do projeto</t>
  </si>
  <si>
    <t>Depende de estabilização</t>
  </si>
  <si>
    <t>ENTREGAS PREVISTAS x REALIZADAS</t>
  </si>
  <si>
    <t>Mês</t>
  </si>
  <si>
    <t>Previstas</t>
  </si>
  <si>
    <t>Realizadas</t>
  </si>
  <si>
    <t>Aderência (%)</t>
  </si>
  <si>
    <t>Acumulado Realizado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</si>
  <si>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</si>
  <si>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</si>
  <si>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</si>
  <si>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</si>
  <si>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</si>
  <si>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</si>
  <si>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</si>
  <si>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</si>
  <si>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CURVA S DE CUSTOS - EVM (PV / EV / AC)</t>
  </si>
  <si>
    <t>PV - Valor Planejado</t>
  </si>
  <si>
    <t>EV - Valor Agregado</t>
  </si>
  <si>
    <t>AC - Custo Real</t>
  </si>
  <si>
    <t>Variação (EV-AC)</t>
  </si>
  <si>
    <t>Out/26</t>
  </si>
  <si>
    <t>Nov/26</t>
  </si>
  <si>
    <t>PROBLEMAS E IMPEDIMENTOS ATUAIS</t>
  </si>
  <si>
    <t>Data de Abertura</t>
  </si>
  <si>
    <t>P01</t>
  </si>
  <si>
    <t>API do banco parceiro retornando erro 500 intermitente</t>
  </si>
  <si>
    <t>Em Tratamento</t>
  </si>
  <si>
    <t>P02</t>
  </si>
  <si>
    <t>Ambiente de homologação indisponível por 2 dias</t>
  </si>
  <si>
    <t>P03</t>
  </si>
  <si>
    <t>Falta de definição de regra de cálculo de juros</t>
  </si>
  <si>
    <t>Aberto</t>
  </si>
  <si>
    <t>P04</t>
  </si>
  <si>
    <t>Recurso de QA em férias sem cobertura prevista</t>
  </si>
  <si>
    <t>08/05/2026</t>
  </si>
  <si>
    <t>P05</t>
  </si>
  <si>
    <t>Pentest apontou 3 vulnerabilidades médias</t>
  </si>
  <si>
    <t>P06</t>
  </si>
  <si>
    <t>Documentação técnica desatualizada para 2 módulos</t>
  </si>
  <si>
    <t>13/05/2026</t>
  </si>
  <si>
    <t>P07</t>
  </si>
  <si>
    <t>Aprovação do jurídico pendente há 5 dias</t>
  </si>
  <si>
    <t>ANÁLISE DO DASHBOARD - INDICADORES, INTERPRETAÇÃO E DECISÕES</t>
  </si>
  <si>
    <t>1. INDICADORES ESCOLHIDOS E JUSTIFICATIVA</t>
  </si>
  <si>
    <t>Status Geral (semáforo)</t>
  </si>
  <si>
    <t>Resume em uma única cor (verde / amarelo / vermelho) a saúde do projeto, combinando o desempenho de prazo (SPI) e de custo (CPI). Importância: é o indicador de leitura rápida para sponsors e executivos.</t>
  </si>
  <si>
    <t>% de Conclusão</t>
  </si>
  <si>
    <t>Mede o avanço físico do projeto (atividades concluídas / total). Importância: mostra objetivamente quanto do projeto já foi entregue.</t>
  </si>
  <si>
    <t>CPI - Cost Performance Index</t>
  </si>
  <si>
    <t>CPI = EV / AC. Importância: indica a eficiência financeira. CPI ≥ 1 significa eficiência. CPI &lt; 1 = estouro de orçamento.</t>
  </si>
  <si>
    <t>SPI - Schedule Performance Index</t>
  </si>
  <si>
    <t>SPI = EV / PV. Importância: aderência ao cronograma. SPI ≥ 1 = no prazo; SPI &lt; 1 = atrasado.</t>
  </si>
  <si>
    <t>Razão entre entregas realizadas e planejadas. Importância: traduz prazo em algo tangível para governança.</t>
  </si>
  <si>
    <t>Número absoluto de atividades em atraso. Importância: indicador operacional direto - aponta onde atuar agora.</t>
  </si>
  <si>
    <t>Top Riscos</t>
  </si>
  <si>
    <t>Riscos com maior severidade (prob × impacto). Importância: foco gerencial nos riscos de maior exposição.</t>
  </si>
  <si>
    <t>Próximos Marcos</t>
  </si>
  <si>
    <t>Próximos pontos de controle. Importância: marcos sinalizam compromissos formais com stakeholders.</t>
  </si>
  <si>
    <t>Problemas / Impedimentos</t>
  </si>
  <si>
    <t>Issues atuais que bloqueiam o trabalho hoje. Diferente de riscos, precisam ser resolvidos no curto prazo.</t>
  </si>
  <si>
    <t>Curva S de Custos (PV / EV / AC)</t>
  </si>
  <si>
    <t>Visualiza valor planejado, valor agregado e custo real ao longo do tempo. Importância: a divergência entre as 3 curvas mostra problemas de prazo (PV vs EV) e custo (EV vs AC).</t>
  </si>
  <si>
    <t>Entregas Previstas x Realizadas (mensal)</t>
  </si>
  <si>
    <t>Visão histórica de entregas. Importância: revela tendência - se o gap cresce, há deterioração do projeto.</t>
  </si>
  <si>
    <t>Curva S de Entregas Acumuladas</t>
  </si>
  <si>
    <t>Mostra o acúmulo de entregas realizadas ao longo do tempo. Importância: o formato 'S' é esperado em projetos saudáveis; desvios indicam problemas de ritmo.</t>
  </si>
  <si>
    <t>Orçamento Consumido (%)</t>
  </si>
  <si>
    <t>Custo Real / Orçamento Total. Quando ultrapassa o % de conclusão, há sinal de estouro futuro.</t>
  </si>
  <si>
    <t>2. INTERPRETAÇÃO DOS DADOS APRESENTADOS</t>
  </si>
  <si>
    <t>Visão geral</t>
  </si>
  <si>
    <t>Com 60% das atividades concluídas, CPI ≈ 1,06 e SPI ≈ 0,90, o projeto está saudável financeiramente, mas com leve atraso no cronograma. Status geral: 🟡 ATENÇÃO.</t>
  </si>
  <si>
    <t>Análise de prazo</t>
  </si>
  <si>
    <t>Aderência de 62,5% (15/24). 9 atividades atrasadas concentradas em integrações, frontend, segurança e compliance. Gargalo está em dependências externas.</t>
  </si>
  <si>
    <t>Análise de custo</t>
  </si>
  <si>
    <t>Custo real (R$ 920k) abaixo do valor agregado (R$ 975k). Mas orçamento consumido (61%) está alinhado com a conclusão (60%) - sem folga para absorver atrasos.</t>
  </si>
  <si>
    <t>Análise visual da Curva S</t>
  </si>
  <si>
    <t>Observando o gráfico PV/EV/AC: EV está abaixo de PV (atraso), mas AC &lt; EV (eficiência de custo). Esse padrão é típico de projetos com bom time mas com problemas de planejamento ou dependências.</t>
  </si>
  <si>
    <t>Análise de riscos</t>
  </si>
  <si>
    <t>Dois riscos críticos (severidade ≥ 20): integração SAP e mudança de escopo. Categoria 'Técnico' e 'Pessoas' concentram a maior severidade total.</t>
  </si>
  <si>
    <t>Análise de problemas</t>
  </si>
  <si>
    <t>7 issues, 4 de prioridade Alta. Maioria envolve dependências externas. Reforça o diagnóstico: o projeto está limitado por interfaces externas.</t>
  </si>
  <si>
    <t>3. DECISÕES GERENCIAIS POSSÍVEIS</t>
  </si>
  <si>
    <t>Decisão 1 - Escalar problemas externos</t>
  </si>
  <si>
    <t>Acionar fornecedores (banco, SAP) com SLA reforçado; pedir intervenção do sponsor no jurídico.</t>
  </si>
  <si>
    <t>Decisão 2 - Replanejamento parcial</t>
  </si>
  <si>
    <t>Com SPI 0,90, considerar fast-tracking ou ajuste de janela de Go-Live para recuperar prazo.</t>
  </si>
  <si>
    <t>Decisão 3 - Reforço de recursos críticos</t>
  </si>
  <si>
    <t>Alocar dev sênior em integrações e cobrir férias do QA. Gargalo em recursos especializados.</t>
  </si>
  <si>
    <t>Decisão 4 - Tratamento dos riscos críticos</t>
  </si>
  <si>
    <t>Workshop de mitigação dos riscos R01 (SAP) e R02 (escopo) com sponsor. Definir plano B documentado.</t>
  </si>
  <si>
    <t>Decisão 5 - Reserva de contingência</t>
  </si>
  <si>
    <t>Solicitar 10% de contingência ao sponsor para horas extras e antecipação de pentest.</t>
  </si>
  <si>
    <t>Decisão 6 - Comunicação proativa</t>
  </si>
  <si>
    <t>Emitir Status Report executivo destacando SPI e riscos críticos. Transparência preserva confiança.</t>
  </si>
  <si>
    <t>4. AUDIÊNCIAS DO DASHBOARD</t>
  </si>
  <si>
    <t>👨‍💻 Equipe técnica</t>
  </si>
  <si>
    <t>Visão operacional detalhada:
• Lista completa de atividades (aba Atividades) com responsáveis e datas.
• Atividades atrasadas com nome do responsável.
• Problemas e impedimentos abertos (prioridade Alta primeiro).
• Próximos marcos para se organizar.
Objetivo: foco no que precisa ser feito hoje e nas próximas semanas.</t>
  </si>
  <si>
    <t>👩‍💼 Gerente do Projeto</t>
  </si>
  <si>
    <t>Visão de gestão tática (recebe TUDO):
• Todos os KPIs do dashboard (status, %, CPI, SPI, aderência).
• Matriz de riscos completa com plano de resposta.
• Curva S de custos (PV/EV/AC) e tendência de entregas.
• Atividades atrasadas + problemas + marcos.
• Orçamento e variações.
Objetivo: decidir replanejamentos, escalar problemas, atuar nos riscos.</t>
  </si>
  <si>
    <t>👔 Executivos / Sponsor</t>
  </si>
  <si>
    <t>Visão estratégica e resumida:
• Status geral (semáforo) - leitura em 5 segundos.
• % de conclusão e aderência de entregas.
• CPI / SPI.
• Top 3-5 riscos críticos.
• Próximos marcos relevantes (Go-Live, UAT).
• Curva S consolidada (visão única do orçamento).
Objetivo: avaliar saúde do investimento, decidir continuidade, destravar bloqueios. NÃO recebem detalhe operacional.</t>
  </si>
  <si>
    <t>5. ELEMENTOS VISUAIS UTILIZADOS NO DASHBOARD</t>
  </si>
  <si>
    <t>Semáforos coloridos</t>
  </si>
  <si>
    <t>Aplicados em: status geral, indicadores EVM (CPI/SPI/CV/Aderência), severidade de riscos, prioridade de problemas, status de marcos. Permitem leitura instantânea (verde/amarelo/vermelho).</t>
  </si>
  <si>
    <t>Barras de progresso (Data Bars)</t>
  </si>
  <si>
    <t>Mostram o % de conclusão de cada atividade de forma visual dentro da própria célula. Aplicados na lista de atividades e no card de atividades atrasadas.</t>
  </si>
  <si>
    <t>Escalas de cor (Color Scales)</t>
  </si>
  <si>
    <t>Gradientes que vão do verde ao vermelho conforme o valor. Usados em: % conclusão, aderência de entregas, dias de atraso, variação de custo.</t>
  </si>
  <si>
    <t>Gráfico de Rosca / Donut</t>
  </si>
  <si>
    <t>Distribuição de atividades por status; orçamento consumido vs disponível. Visualização clara de proporções.</t>
  </si>
  <si>
    <t>Gráfico de Pizza</t>
  </si>
  <si>
    <t>Distribuição de problemas por prioridade. Mostra rapidamente a concentração de issues críticos.</t>
  </si>
  <si>
    <t>Gráfico de Barras (vertical e horizontal)</t>
  </si>
  <si>
    <t>Entregas previstas x realizadas (vertical); riscos por categoria (horizontal). Permite comparação direta entre categorias.</t>
  </si>
  <si>
    <t>Gráfico de Linhas - Curva S de Custos</t>
  </si>
  <si>
    <t>Três linhas (PV, EV, AC) ao longo do tempo. Ferramenta clássica do EVM (PMBOK) para diagnosticar simultaneamente prazo e custo.</t>
  </si>
  <si>
    <t>Gráfico de Área - Curva S de Entregas</t>
  </si>
  <si>
    <t>Acumulado de entregas realizadas. Curva 'S' é o padrão esperado em projetos saudáveis.</t>
  </si>
  <si>
    <t>6. COMO USAR ESTE TEMPLATE</t>
  </si>
  <si>
    <t>Passo 1 - Atualizar parâmetros</t>
  </si>
  <si>
    <t>Edite a aba 'Parâmetros'. Todo o dashboard se recalcula automaticamente.</t>
  </si>
  <si>
    <t>Passo 2 - Atualizar listas</t>
  </si>
  <si>
    <t>Atualize 'Atividades', 'Riscos', 'Marcos', 'Entregas', 'Custos' e 'Problemas'. Os gráficos seguem.</t>
  </si>
  <si>
    <t>Passo 3 - Reportar</t>
  </si>
  <si>
    <t>Exporte a aba 'Dashboard' como PDF para sponsor e executivos. Para a equipe, compartilhe as abas detalhadas.</t>
  </si>
  <si>
    <t>Passo 4 - Periodicidade</t>
  </si>
  <si>
    <t>Atualização semanal pelo PMO. Reporte quinzenal a executivos e diário interno à equipe.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</si>
</sst>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&quot;R$ &quot;#,##0"/>
    <numFmt numFmtId="166" formatCode="dd/mm/yyyy"/>
    <numFmt numFmtId="167" formatCode="&quot;R$ &quot;#,##0.00"/>
  </numFmts>
  <fonts count="19">
    <font>
      <sz val="11.0"/>
      <color theme="1"/>
      <name val="Calibri"/>
      <scheme val="minor"/>
    </font>
    <font>
      <b/>
      <sz val="20.0"/>
      <color rgb="FFFFFFFF"/>
      <name val="Calibri"/>
    </font>
    <font/>
    <font>
      <b/>
      <i/>
      <sz val="11.0"/>
      <color rgb="FFFFFFFF"/>
      <name val="Calibri"/>
    </font>
    <font>
      <b/>
      <sz val="10.0"/>
      <color rgb="FF1F3864"/>
      <name val="Calibri"/>
    </font>
    <font>
      <b/>
      <sz val="16.0"/>
      <color rgb="FF1F3864"/>
      <name val="Calibri"/>
    </font>
    <font>
      <b/>
      <sz val="18.0"/>
      <color rgb="FF1F3864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11.0"/>
      <color rgb="FF1F3864"/>
      <name val="Calibri"/>
    </font>
    <font>
      <b/>
      <sz val="12.0"/>
      <color theme="1"/>
      <name val="Calibri"/>
    </font>
    <font>
      <i/>
      <sz val="10.0"/>
      <color theme="1"/>
      <name val="Calibri"/>
    </font>
    <font>
      <b/>
      <sz val="22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i/>
      <sz val="10.0"/>
      <color rgb="FF1F3864"/>
      <name val="Calibri"/>
    </font>
    <font>
      <b/>
      <sz val="13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DEBF7"/>
        <bgColor rgb="FFDDEBF7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7030A0"/>
        <bgColor rgb="FF7030A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4" fillId="4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0"/>
    </xf>
    <xf borderId="4" fillId="0" fontId="6" numFmtId="164" xfId="0" applyAlignment="1" applyBorder="1" applyFont="1" applyNumberForma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4" fillId="3" fontId="7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7" fillId="3" fontId="8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left" shrinkToFit="0" vertical="center" wrapText="0"/>
    </xf>
    <xf borderId="7" fillId="0" fontId="10" numFmtId="2" xfId="0" applyAlignment="1" applyBorder="1" applyFont="1" applyNumberFormat="1">
      <alignment horizontal="center" shrinkToFit="0" vertical="center" wrapText="0"/>
    </xf>
    <xf borderId="7" fillId="0" fontId="11" numFmtId="0" xfId="0" applyAlignment="1" applyBorder="1" applyFont="1">
      <alignment horizontal="center" shrinkToFit="0" vertical="center" wrapText="0"/>
    </xf>
    <xf borderId="7" fillId="0" fontId="12" numFmtId="0" xfId="0" applyAlignment="1" applyBorder="1" applyFont="1">
      <alignment horizontal="center" shrinkToFit="0" vertical="center" wrapText="0"/>
    </xf>
    <xf borderId="4" fillId="0" fontId="13" numFmtId="0" xfId="0" applyAlignment="1" applyBorder="1" applyFont="1">
      <alignment horizontal="left" shrinkToFit="0" vertical="center" wrapText="1"/>
    </xf>
    <xf borderId="7" fillId="0" fontId="10" numFmtId="165" xfId="0" applyAlignment="1" applyBorder="1" applyFont="1" applyNumberFormat="1">
      <alignment horizontal="center" shrinkToFit="0" vertical="center" wrapText="0"/>
    </xf>
    <xf borderId="7" fillId="0" fontId="10" numFmtId="164" xfId="0" applyAlignment="1" applyBorder="1" applyFont="1" applyNumberFormat="1">
      <alignment horizontal="center" shrinkToFit="0" vertical="center" wrapText="0"/>
    </xf>
    <xf borderId="4" fillId="2" fontId="7" numFmtId="0" xfId="0" applyAlignment="1" applyBorder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7" fillId="3" fontId="8" numFmtId="0" xfId="0" applyAlignment="1" applyBorder="1" applyFont="1">
      <alignment horizontal="center" readingOrder="0" shrinkToFit="0" vertical="center" wrapText="1"/>
    </xf>
    <xf borderId="7" fillId="0" fontId="13" numFmtId="0" xfId="0" applyAlignment="1" applyBorder="1" applyFont="1">
      <alignment horizontal="center" shrinkToFit="0" vertical="center" wrapText="1"/>
    </xf>
    <xf borderId="7" fillId="0" fontId="13" numFmtId="166" xfId="0" applyAlignment="1" applyBorder="1" applyFont="1" applyNumberFormat="1">
      <alignment horizontal="center" readingOrder="0" shrinkToFit="0" vertical="center" wrapText="1"/>
    </xf>
    <xf borderId="7" fillId="0" fontId="13" numFmtId="9" xfId="0" applyAlignment="1" applyBorder="1" applyFont="1" applyNumberFormat="1">
      <alignment horizontal="center" shrinkToFit="0" vertical="center" wrapText="1"/>
    </xf>
    <xf borderId="0" fillId="0" fontId="14" numFmtId="0" xfId="0" applyFont="1"/>
    <xf borderId="0" fillId="0" fontId="15" numFmtId="167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7" fillId="4" fontId="9" numFmtId="0" xfId="0" applyAlignment="1" applyBorder="1" applyFont="1">
      <alignment horizontal="left" shrinkToFit="0" vertical="center" wrapText="0"/>
    </xf>
    <xf borderId="7" fillId="0" fontId="16" numFmtId="0" xfId="0" applyAlignment="1" applyBorder="1" applyFont="1">
      <alignment horizontal="center" readingOrder="0" shrinkToFit="0" vertical="center" wrapText="0"/>
    </xf>
    <xf borderId="0" fillId="0" fontId="17" numFmtId="0" xfId="0" applyAlignment="1" applyFont="1">
      <alignment shrinkToFit="0" vertical="bottom" wrapText="0"/>
    </xf>
    <xf borderId="7" fillId="0" fontId="16" numFmtId="0" xfId="0" applyAlignment="1" applyBorder="1" applyFont="1">
      <alignment horizontal="center" shrinkToFit="0" vertical="center" wrapText="0"/>
    </xf>
    <xf borderId="7" fillId="0" fontId="16" numFmtId="167" xfId="0" applyAlignment="1" applyBorder="1" applyFont="1" applyNumberFormat="1">
      <alignment horizontal="center" shrinkToFit="0" vertical="center" wrapText="0"/>
    </xf>
    <xf borderId="7" fillId="0" fontId="13" numFmtId="0" xfId="0" applyAlignment="1" applyBorder="1" applyFont="1">
      <alignment horizontal="left" shrinkToFit="0" vertical="center" wrapText="0"/>
    </xf>
    <xf borderId="7" fillId="0" fontId="13" numFmtId="0" xfId="0" applyAlignment="1" applyBorder="1" applyFont="1">
      <alignment horizontal="left" shrinkToFit="0" vertical="center" wrapText="1"/>
    </xf>
    <xf borderId="7" fillId="0" fontId="13" numFmtId="165" xfId="0" applyAlignment="1" applyBorder="1" applyFont="1" applyNumberFormat="1">
      <alignment horizontal="center" shrinkToFit="0" vertical="center" wrapText="1"/>
    </xf>
    <xf borderId="1" fillId="3" fontId="18" numFmtId="0" xfId="0" applyAlignment="1" applyBorder="1" applyFont="1">
      <alignment horizontal="left" shrinkToFit="0" vertical="center" wrapText="0"/>
    </xf>
    <xf borderId="7" fillId="4" fontId="9" numFmtId="0" xfId="0" applyAlignment="1" applyBorder="1" applyFont="1">
      <alignment horizontal="left" shrinkToFit="0" vertical="top" wrapText="1"/>
    </xf>
    <xf borderId="7" fillId="0" fontId="16" numFmtId="0" xfId="0" applyAlignment="1" applyBorder="1" applyFont="1">
      <alignment horizontal="left" shrinkToFit="0" vertical="top" wrapText="1"/>
    </xf>
    <xf borderId="1" fillId="2" fontId="18" numFmtId="0" xfId="0" applyAlignment="1" applyBorder="1" applyFont="1">
      <alignment horizontal="left" shrinkToFit="0" vertical="center" wrapText="0"/>
    </xf>
    <xf borderId="1" fillId="5" fontId="18" numFmtId="0" xfId="0" applyAlignment="1" applyBorder="1" applyFont="1">
      <alignment horizontal="left" shrinkToFit="0" vertical="center" wrapText="0"/>
    </xf>
    <xf borderId="1" fillId="6" fontId="18" numFmtId="0" xfId="0" applyAlignment="1" applyBorder="1" applyFill="1" applyFont="1">
      <alignment horizontal="left" shrinkToFit="0" vertical="center" wrapText="0"/>
    </xf>
    <xf borderId="1" fillId="7" fontId="18" numFmtId="0" xfId="0" applyAlignment="1" applyBorder="1" applyFill="1" applyFont="1">
      <alignment horizontal="left" shrinkToFit="0" vertical="center" wrapText="0"/>
    </xf>
  </cellXfs>
  <cellStyles count="1">
    <cellStyle xfId="0" name="Normal" builtinId="0"/>
  </cellStyles>
  <dxfs count="14">
    <dxf>
      <font>
        <b/>
        <sz val="18.0"/>
        <color rgb="FFFFFFFF"/>
        <name val="Calibri"/>
      </font>
      <fill>
        <patternFill patternType="solid">
          <fgColor rgb="FFC00000"/>
          <bgColor rgb="FFC00000"/>
        </patternFill>
      </fill>
      <border/>
    </dxf>
    <dxf>
      <font>
        <b/>
        <sz val="18.0"/>
        <color rgb="FF000000"/>
        <name val="Calibri"/>
      </font>
      <fill>
        <patternFill patternType="solid">
          <fgColor rgb="FFFFC000"/>
          <bgColor rgb="FFFFC000"/>
        </patternFill>
      </fill>
      <border/>
    </dxf>
    <dxf>
      <font>
        <b/>
        <sz val="18.0"/>
        <color rgb="FFFFFFFF"/>
        <name val="Calibri"/>
      </font>
      <fill>
        <patternFill patternType="solid">
          <fgColor rgb="FF70AD47"/>
          <bgColor rgb="FF70AD47"/>
        </patternFill>
      </fill>
      <border/>
    </dxf>
    <dxf>
      <font>
        <b/>
        <sz val="14.0"/>
        <color rgb="FFFFFFFF"/>
        <name val="Calibri"/>
      </font>
      <fill>
        <patternFill patternType="solid">
          <fgColor rgb="FF70AD47"/>
          <bgColor rgb="FF70AD47"/>
        </patternFill>
      </fill>
      <border/>
    </dxf>
    <dxf>
      <font>
        <b/>
        <sz val="14.0"/>
        <color rgb="FFFFFFFF"/>
        <name val="Calibri"/>
      </font>
      <fill>
        <patternFill patternType="solid">
          <fgColor rgb="FFC00000"/>
          <bgColor rgb="FFC00000"/>
        </patternFill>
      </fill>
      <border/>
    </dxf>
    <dxf>
      <font>
        <b/>
        <sz val="14.0"/>
        <color rgb="FF000000"/>
        <name val="Calibri"/>
      </font>
      <fill>
        <patternFill patternType="solid">
          <fgColor rgb="FFFFC000"/>
          <bgColor rgb="FFFFC000"/>
        </patternFill>
      </fill>
      <border/>
    </dxf>
    <dxf>
      <font>
        <b/>
        <sz val="22.0"/>
        <color rgb="FF70AD47"/>
        <name val="Calibri"/>
      </font>
      <fill>
        <patternFill patternType="none"/>
      </fill>
      <border/>
    </dxf>
    <dxf>
      <font>
        <b/>
        <sz val="22.0"/>
        <color rgb="FFFFC000"/>
        <name val="Calibri"/>
      </font>
      <fill>
        <patternFill patternType="none"/>
      </fill>
      <border/>
    </dxf>
    <dxf>
      <font>
        <b/>
        <sz val="22.0"/>
        <color rgb="FFC00000"/>
        <name val="Calibri"/>
      </font>
      <fill>
        <patternFill patternType="none"/>
      </fill>
      <border/>
    </dxf>
    <dxf>
      <font>
        <b/>
        <color rgb="FFFFFFFF"/>
        <name val="Calibri"/>
      </font>
      <fill>
        <patternFill patternType="solid">
          <fgColor rgb="FF70AD47"/>
          <bgColor rgb="FF70AD47"/>
        </patternFill>
      </fill>
      <border/>
    </dxf>
    <dxf>
      <font>
        <b/>
        <color rgb="FF000000"/>
        <name val="Calibri"/>
      </font>
      <fill>
        <patternFill patternType="solid">
          <fgColor rgb="FFFFC000"/>
          <bgColor rgb="FFFFC000"/>
        </patternFill>
      </fill>
      <border/>
    </dxf>
    <dxf>
      <font>
        <b/>
        <color rgb="FFFFFFFF"/>
        <name val="Calibri"/>
      </font>
      <fill>
        <patternFill patternType="solid">
          <fgColor rgb="FF2E75B6"/>
          <bgColor rgb="FF2E75B6"/>
        </patternFill>
      </fill>
      <border/>
    </dxf>
    <dxf>
      <font>
        <b/>
        <color rgb="FFFFFFFF"/>
        <name val="Calibri"/>
      </font>
      <fill>
        <patternFill patternType="solid">
          <fgColor rgb="FFC00000"/>
          <bgColor rgb="FFC00000"/>
        </patternFill>
      </fill>
      <border/>
    </dxf>
    <dxf>
      <font>
        <b/>
        <color rgb="FF000000"/>
        <name val="Calibri"/>
      </font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Curva S - Valor Planejado (PV), Agregado (EV) e Custo Real (AC)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 - Valor Planejado</c:v>
          </c:tx>
          <c:spPr>
            <a:ln cmpd="sng" w="38100">
              <a:solidFill>
                <a:srgbClr val="9D3E3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Custos!$A$4:$A$13</c:f>
            </c:strRef>
          </c:cat>
          <c:val>
            <c:numRef>
              <c:f>Custos!$B$4:$B$13</c:f>
              <c:numCache/>
            </c:numRef>
          </c:val>
          <c:smooth val="1"/>
        </c:ser>
        <c:ser>
          <c:idx val="1"/>
          <c:order val="1"/>
          <c:tx>
            <c:v>EV - Valor Agregado</c:v>
          </c:tx>
          <c:spPr>
            <a:ln cmpd="sng" w="3810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Custos!$A$4:$A$13</c:f>
            </c:strRef>
          </c:cat>
          <c:val>
            <c:numRef>
              <c:f>Custos!$C$4:$C$13</c:f>
              <c:numCache/>
            </c:numRef>
          </c:val>
          <c:smooth val="1"/>
        </c:ser>
        <c:ser>
          <c:idx val="2"/>
          <c:order val="2"/>
          <c:tx>
            <c:v>AC - Custo Real</c:v>
          </c:tx>
          <c:spPr>
            <a:ln cmpd="sng" w="38100">
              <a:solidFill>
                <a:srgbClr val="D4A5A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Custos!$A$4:$A$13</c:f>
            </c:strRef>
          </c:cat>
          <c:val>
            <c:numRef>
              <c:f>Custos!$D$4:$D$13</c:f>
              <c:numCache/>
            </c:numRef>
          </c:val>
          <c:smooth val="1"/>
        </c:ser>
        <c:axId val="50734074"/>
        <c:axId val="1471221172"/>
      </c:lineChart>
      <c:catAx>
        <c:axId val="50734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71221172"/>
      </c:catAx>
      <c:valAx>
        <c:axId val="14712211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073407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Entregas Previstas x Realizadas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Previstas</c:v>
          </c:tx>
          <c:spPr>
            <a:solidFill>
              <a:srgbClr val="4672A8"/>
            </a:solidFill>
            <a:ln cmpd="sng">
              <a:solidFill>
                <a:srgbClr val="000000"/>
              </a:solidFill>
            </a:ln>
          </c:spPr>
          <c:cat>
            <c:strRef>
              <c:f>Entregas!$A$4:$A$11</c:f>
            </c:strRef>
          </c:cat>
          <c:val>
            <c:numRef>
              <c:f>Entregas!$B$4:$B$11</c:f>
              <c:numCache/>
            </c:numRef>
          </c:val>
        </c:ser>
        <c:ser>
          <c:idx val="1"/>
          <c:order val="1"/>
          <c:tx>
            <c:v>Realizadas</c:v>
          </c:tx>
          <c:spPr>
            <a:solidFill>
              <a:srgbClr val="93A9CE"/>
            </a:solidFill>
            <a:ln cmpd="sng">
              <a:solidFill>
                <a:srgbClr val="000000"/>
              </a:solidFill>
            </a:ln>
          </c:spPr>
          <c:cat>
            <c:strRef>
              <c:f>Entregas!$A$4:$A$11</c:f>
            </c:strRef>
          </c:cat>
          <c:val>
            <c:numRef>
              <c:f>Entregas!$C$4:$C$11</c:f>
              <c:numCache/>
            </c:numRef>
          </c:val>
        </c:ser>
        <c:axId val="1571920013"/>
        <c:axId val="1459624101"/>
      </c:barChart>
      <c:catAx>
        <c:axId val="1571920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59624101"/>
      </c:catAx>
      <c:valAx>
        <c:axId val="14596241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7192001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Curva S - Acumulado de Entregas Realizadas</a:t>
            </a:r>
          </a:p>
        </c:rich>
      </c:tx>
      <c:overlay val="0"/>
    </c:title>
    <c:plotArea>
      <c:layout/>
      <c:areaChart>
        <c:ser>
          <c:idx val="0"/>
          <c:order val="0"/>
          <c:tx>
            <c:v>Acumulado Realizado</c:v>
          </c:tx>
          <c:spPr>
            <a:solidFill>
              <a:srgbClr val="F9F9F9">
                <a:alpha val="30000"/>
              </a:srgbClr>
            </a:solidFill>
            <a:ln cmpd="sng">
              <a:solidFill>
                <a:srgbClr val="F9F9F9">
                  <a:alpha val="100000"/>
                </a:srgbClr>
              </a:solidFill>
            </a:ln>
          </c:spPr>
          <c:cat>
            <c:strRef>
              <c:f>Entregas!$A$4:$A$11</c:f>
            </c:strRef>
          </c:cat>
          <c:val>
            <c:numRef>
              <c:f>Entregas!$E$4:$E$11</c:f>
              <c:numCache/>
            </c:numRef>
          </c:val>
        </c:ser>
        <c:axId val="1720240657"/>
        <c:axId val="193865922"/>
      </c:areaChart>
      <c:catAx>
        <c:axId val="1720240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3865922"/>
      </c:catAx>
      <c:valAx>
        <c:axId val="1938659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Entregas acumuladas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2024065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Severidade Total por Categoria de Risco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Severidade Total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Riscos!$I$4:$I$11</c:f>
            </c:strRef>
          </c:cat>
          <c:val>
            <c:numRef>
              <c:f>Riscos!$K$4:$K$11</c:f>
              <c:numCache/>
            </c:numRef>
          </c:val>
        </c:ser>
        <c:axId val="1698100224"/>
        <c:axId val="1468390973"/>
      </c:barChart>
      <c:catAx>
        <c:axId val="16981002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Severidade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68390973"/>
      </c:catAx>
      <c:valAx>
        <c:axId val="14683909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98100224"/>
        <c:crosses val="max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Entregas Previstas x Realizadas por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Previstas</c:v>
          </c:tx>
          <c:spPr>
            <a:solidFill>
              <a:srgbClr val="4672A8"/>
            </a:solidFill>
            <a:ln cmpd="sng">
              <a:solidFill>
                <a:srgbClr val="000000"/>
              </a:solidFill>
            </a:ln>
          </c:spPr>
          <c:cat>
            <c:strRef>
              <c:f>Entregas!$A$4:$A$11</c:f>
            </c:strRef>
          </c:cat>
          <c:val>
            <c:numRef>
              <c:f>Entregas!$B$4:$B$11</c:f>
              <c:numCache/>
            </c:numRef>
          </c:val>
        </c:ser>
        <c:ser>
          <c:idx val="1"/>
          <c:order val="1"/>
          <c:tx>
            <c:v>Realizadas</c:v>
          </c:tx>
          <c:spPr>
            <a:solidFill>
              <a:srgbClr val="93A9CE"/>
            </a:solidFill>
            <a:ln cmpd="sng">
              <a:solidFill>
                <a:srgbClr val="000000"/>
              </a:solidFill>
            </a:ln>
          </c:spPr>
          <c:cat>
            <c:strRef>
              <c:f>Entregas!$A$4:$A$11</c:f>
            </c:strRef>
          </c:cat>
          <c:val>
            <c:numRef>
              <c:f>Entregas!$C$4:$C$11</c:f>
              <c:numCache/>
            </c:numRef>
          </c:val>
        </c:ser>
        <c:axId val="1981465231"/>
        <c:axId val="1755118451"/>
      </c:barChart>
      <c:catAx>
        <c:axId val="1981465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55118451"/>
      </c:catAx>
      <c:valAx>
        <c:axId val="1755118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8146523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Curva S - Acumulado de Entregas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Acumulado Realizado</c:v>
          </c:tx>
          <c:spPr>
            <a:ln cmpd="sng" w="3810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Entregas!$A$4:$A$11</c:f>
            </c:strRef>
          </c:cat>
          <c:val>
            <c:numRef>
              <c:f>Entregas!$E$4:$E$11</c:f>
              <c:numCache/>
            </c:numRef>
          </c:val>
          <c:smooth val="1"/>
        </c:ser>
        <c:axId val="1157793827"/>
        <c:axId val="282536243"/>
      </c:lineChart>
      <c:catAx>
        <c:axId val="1157793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82536243"/>
      </c:catAx>
      <c:valAx>
        <c:axId val="282536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Total acumulado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5779382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Curva S de Custos - PV, EV, AC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 - Valor Planejado</c:v>
          </c:tx>
          <c:spPr>
            <a:ln cmpd="sng" w="38100">
              <a:solidFill>
                <a:srgbClr val="9D3E3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Custos!$A$4:$A$13</c:f>
            </c:strRef>
          </c:cat>
          <c:val>
            <c:numRef>
              <c:f>Custos!$B$4:$B$13</c:f>
              <c:numCache/>
            </c:numRef>
          </c:val>
          <c:smooth val="1"/>
        </c:ser>
        <c:ser>
          <c:idx val="1"/>
          <c:order val="1"/>
          <c:tx>
            <c:v>EV - Valor Agregado</c:v>
          </c:tx>
          <c:spPr>
            <a:ln cmpd="sng" w="3810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Custos!$A$4:$A$13</c:f>
            </c:strRef>
          </c:cat>
          <c:val>
            <c:numRef>
              <c:f>Custos!$C$4:$C$13</c:f>
              <c:numCache/>
            </c:numRef>
          </c:val>
          <c:smooth val="1"/>
        </c:ser>
        <c:ser>
          <c:idx val="2"/>
          <c:order val="2"/>
          <c:tx>
            <c:v>AC - Custo Real</c:v>
          </c:tx>
          <c:spPr>
            <a:ln cmpd="sng" w="38100">
              <a:solidFill>
                <a:srgbClr val="D4A5A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Custos!$A$4:$A$13</c:f>
            </c:strRef>
          </c:cat>
          <c:val>
            <c:numRef>
              <c:f>Custos!$D$4:$D$13</c:f>
              <c:numCache/>
            </c:numRef>
          </c:val>
          <c:smooth val="1"/>
        </c:ser>
        <c:axId val="1372262185"/>
        <c:axId val="2107369760"/>
      </c:lineChart>
      <c:catAx>
        <c:axId val="1372262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07369760"/>
      </c:catAx>
      <c:valAx>
        <c:axId val="2107369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R$ Acumulado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7226218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17</xdr:row>
      <xdr:rowOff>0</xdr:rowOff>
    </xdr:from>
    <xdr:ext cx="6181725" cy="3238500"/>
    <xdr:graphicFrame>
      <xdr:nvGraphicFramePr>
        <xdr:cNvPr id="4364915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17</xdr:row>
      <xdr:rowOff>0</xdr:rowOff>
    </xdr:from>
    <xdr:ext cx="4829175" cy="3238500"/>
    <xdr:graphicFrame>
      <xdr:nvGraphicFramePr>
        <xdr:cNvPr id="16794953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36</xdr:row>
      <xdr:rowOff>0</xdr:rowOff>
    </xdr:from>
    <xdr:ext cx="5467350" cy="3590925"/>
    <xdr:graphicFrame>
      <xdr:nvGraphicFramePr>
        <xdr:cNvPr id="87804988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13</xdr:row>
      <xdr:rowOff>76200</xdr:rowOff>
    </xdr:from>
    <xdr:ext cx="5457825" cy="3400425"/>
    <xdr:graphicFrame>
      <xdr:nvGraphicFramePr>
        <xdr:cNvPr id="72194287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0</xdr:rowOff>
    </xdr:from>
    <xdr:ext cx="6172200" cy="3381375"/>
    <xdr:graphicFrame>
      <xdr:nvGraphicFramePr>
        <xdr:cNvPr id="137103796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21</xdr:row>
      <xdr:rowOff>0</xdr:rowOff>
    </xdr:from>
    <xdr:ext cx="6172200" cy="3400425"/>
    <xdr:graphicFrame>
      <xdr:nvGraphicFramePr>
        <xdr:cNvPr id="187829961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0</xdr:rowOff>
    </xdr:from>
    <xdr:ext cx="7553325" cy="4505325"/>
    <xdr:graphicFrame>
      <xdr:nvGraphicFramePr>
        <xdr:cNvPr id="1423906983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9" width="18.0"/>
    <col customWidth="1" min="10" max="11" width="22.0"/>
    <col customWidth="1" min="12" max="12" width="2.0"/>
    <col customWidth="1" min="13" max="26" width="8.71"/>
  </cols>
  <sheetData>
    <row r="2" ht="42.0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ht="21.75" customHeight="1">
      <c r="B3" s="4" t="str">
        <f>"Projeto: "&amp;'Parâmetros'!B3&amp;"   |   Gerente: "&amp;'Parâmetros'!B4&amp;"   |   Data do Status: "&amp;'Parâmetros'!B8</f>
        <v>Projeto: Kybernus CLI   |   Gerente: Guilherme Marafon   |   Data do Status: 20/05/2026</v>
      </c>
      <c r="C3" s="5"/>
      <c r="D3" s="5"/>
      <c r="E3" s="5"/>
      <c r="F3" s="5"/>
      <c r="G3" s="5"/>
      <c r="H3" s="5"/>
      <c r="I3" s="5"/>
      <c r="J3" s="5"/>
      <c r="K3" s="6"/>
    </row>
    <row r="5" ht="21.75" customHeight="1">
      <c r="B5" s="7" t="s">
        <v>1</v>
      </c>
      <c r="C5" s="6"/>
      <c r="D5" s="7" t="s">
        <v>2</v>
      </c>
      <c r="E5" s="6"/>
      <c r="F5" s="7" t="s">
        <v>3</v>
      </c>
      <c r="G5" s="6"/>
      <c r="H5" s="7" t="s">
        <v>4</v>
      </c>
      <c r="I5" s="6"/>
      <c r="J5" s="7" t="s">
        <v>5</v>
      </c>
      <c r="K5" s="6"/>
    </row>
    <row r="6" ht="43.5" customHeight="1">
      <c r="B6" s="8" t="str">
        <f>IF(AND(E11&gt;=0.95,E12&gt;=0.95),"🟢 NO PRAZO",IF(OR(E11&lt;0.85,E12&lt;0.85),"🔴 CRÍTICO","🟡 ATENÇÃO"))</f>
        <v>🔴 CRÍTICO</v>
      </c>
      <c r="C6" s="5"/>
      <c r="D6" s="9">
        <f>'Parâmetros'!B16/'Parâmetros'!B15</f>
        <v>0.375</v>
      </c>
      <c r="E6" s="5"/>
      <c r="F6" s="9">
        <f>'Parâmetros'!B14/'Parâmetros'!B13</f>
        <v>5.333333333</v>
      </c>
      <c r="G6" s="5"/>
      <c r="H6" s="10">
        <f>'Parâmetros'!B17</f>
        <v>9</v>
      </c>
      <c r="I6" s="5"/>
      <c r="J6" s="9">
        <f>'Parâmetros'!B10/'Parâmetros'!B9</f>
        <v>0.6133333333</v>
      </c>
      <c r="K6" s="5"/>
    </row>
    <row r="7" ht="21.75" customHeight="1"/>
    <row r="9" ht="24.0" customHeight="1">
      <c r="B9" s="11" t="s">
        <v>6</v>
      </c>
      <c r="C9" s="5"/>
      <c r="D9" s="5"/>
      <c r="E9" s="5"/>
      <c r="F9" s="5"/>
      <c r="G9" s="5"/>
      <c r="H9" s="5"/>
      <c r="I9" s="5"/>
      <c r="J9" s="5"/>
      <c r="K9" s="6"/>
    </row>
    <row r="10" ht="24.0" customHeight="1">
      <c r="B10" s="12" t="s">
        <v>7</v>
      </c>
      <c r="C10" s="5"/>
      <c r="D10" s="6"/>
      <c r="E10" s="13" t="s">
        <v>8</v>
      </c>
      <c r="F10" s="13" t="s">
        <v>9</v>
      </c>
      <c r="G10" s="13" t="s">
        <v>10</v>
      </c>
      <c r="H10" s="12" t="s">
        <v>11</v>
      </c>
      <c r="I10" s="5"/>
      <c r="J10" s="5"/>
      <c r="K10" s="6"/>
    </row>
    <row r="11" ht="25.5" customHeight="1">
      <c r="B11" s="14" t="s">
        <v>12</v>
      </c>
      <c r="C11" s="5"/>
      <c r="D11" s="6"/>
      <c r="E11" s="15">
        <f>'Parâmetros'!B11/'Parâmetros'!B10</f>
        <v>1.059782609</v>
      </c>
      <c r="F11" s="16" t="s">
        <v>13</v>
      </c>
      <c r="G11" s="17" t="s">
        <v>14</v>
      </c>
      <c r="H11" s="18" t="str">
        <f>IF(E11&gt;=1,"Eficiência de custo OK",IF(E11&gt;=0.95,"Custo levemente acima","Estouro de custo"))</f>
        <v>Eficiência de custo OK</v>
      </c>
      <c r="I11" s="5"/>
      <c r="J11" s="5"/>
      <c r="K11" s="5"/>
    </row>
    <row r="12" ht="25.5" customHeight="1">
      <c r="B12" s="14" t="s">
        <v>15</v>
      </c>
      <c r="C12" s="5"/>
      <c r="D12" s="6"/>
      <c r="E12" s="15">
        <f>'Parâmetros'!B16/'Parâmetros'!B15</f>
        <v>0.375</v>
      </c>
      <c r="F12" s="16" t="s">
        <v>13</v>
      </c>
      <c r="G12" s="17" t="s">
        <v>14</v>
      </c>
      <c r="H12" s="18" t="str">
        <f>IF(E12&gt;=1,"Cronograma no ritmo",IF(E12&gt;=0.95,"Leve atraso","Atraso significativo"))</f>
        <v>Atraso significativo</v>
      </c>
      <c r="I12" s="5"/>
      <c r="J12" s="5"/>
      <c r="K12" s="5"/>
    </row>
    <row r="13" ht="25.5" customHeight="1">
      <c r="B13" s="14" t="s">
        <v>16</v>
      </c>
      <c r="C13" s="5"/>
      <c r="D13" s="6"/>
      <c r="E13" s="19">
        <f>'Parâmetros'!B11-'Parâmetros'!B10</f>
        <v>55000</v>
      </c>
      <c r="F13" s="16" t="s">
        <v>17</v>
      </c>
      <c r="G13" s="17" t="s">
        <v>14</v>
      </c>
      <c r="H13" s="18" t="str">
        <f>IF(E13&gt;=0,"EV maior que AC - custo OK","Gastando mais que o entregue")</f>
        <v>EV maior que AC - custo OK</v>
      </c>
      <c r="I13" s="5"/>
      <c r="J13" s="5"/>
      <c r="K13" s="5"/>
    </row>
    <row r="14" ht="25.5" customHeight="1">
      <c r="B14" s="14" t="s">
        <v>18</v>
      </c>
      <c r="C14" s="5"/>
      <c r="D14" s="6"/>
      <c r="E14" s="20">
        <f>'Parâmetros'!B14/'Parâmetros'!B13</f>
        <v>5.333333333</v>
      </c>
      <c r="F14" s="16" t="s">
        <v>19</v>
      </c>
      <c r="G14" s="17" t="s">
        <v>14</v>
      </c>
      <c r="H14" s="18" t="str">
        <f>IF(E14&gt;=0.9,"Entregas no ritmo",IF(E14&gt;=0.7,"Entregas com atraso leve","Aderência baixa"))</f>
        <v>Entregas no ritmo</v>
      </c>
      <c r="I14" s="5"/>
      <c r="J14" s="5"/>
      <c r="K14" s="5"/>
    </row>
    <row r="16" ht="25.5" customHeight="1">
      <c r="B16" s="21" t="s">
        <v>20</v>
      </c>
      <c r="C16" s="5"/>
      <c r="D16" s="5"/>
      <c r="E16" s="5"/>
      <c r="F16" s="5"/>
      <c r="G16" s="5"/>
      <c r="H16" s="5"/>
      <c r="I16" s="5"/>
      <c r="J16" s="5"/>
      <c r="K16" s="6"/>
    </row>
    <row r="17" ht="25.5" customHeight="1">
      <c r="B17" s="21" t="s">
        <v>21</v>
      </c>
      <c r="C17" s="5"/>
      <c r="D17" s="5"/>
      <c r="E17" s="5"/>
      <c r="F17" s="5"/>
      <c r="G17" s="5"/>
      <c r="H17" s="5"/>
      <c r="I17" s="5"/>
      <c r="J17" s="5"/>
      <c r="K17" s="6"/>
    </row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25.5" customHeight="1">
      <c r="B36" s="21" t="s">
        <v>22</v>
      </c>
      <c r="C36" s="5"/>
      <c r="D36" s="5"/>
      <c r="E36" s="5"/>
      <c r="F36" s="5"/>
      <c r="G36" s="5"/>
      <c r="H36" s="5"/>
      <c r="I36" s="5"/>
      <c r="J36" s="5"/>
      <c r="K36" s="6"/>
    </row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25.5" customHeight="1">
      <c r="B56" s="21" t="s">
        <v>23</v>
      </c>
      <c r="C56" s="5"/>
      <c r="D56" s="5"/>
      <c r="E56" s="5"/>
      <c r="F56" s="5"/>
      <c r="G56" s="5"/>
      <c r="H56" s="5"/>
      <c r="I56" s="5"/>
      <c r="J56" s="5"/>
      <c r="K56" s="6"/>
    </row>
    <row r="57" ht="24.0" customHeight="1">
      <c r="B57" s="11" t="s">
        <v>24</v>
      </c>
      <c r="C57" s="5"/>
      <c r="D57" s="5"/>
      <c r="E57" s="5"/>
      <c r="F57" s="6"/>
      <c r="G57" s="22" t="s">
        <v>25</v>
      </c>
      <c r="H57" s="5"/>
      <c r="I57" s="5"/>
      <c r="J57" s="5"/>
      <c r="K57" s="6"/>
    </row>
    <row r="58" ht="21.75" customHeight="1">
      <c r="B58" s="13" t="s">
        <v>26</v>
      </c>
      <c r="C58" s="12" t="s">
        <v>27</v>
      </c>
      <c r="D58" s="6"/>
      <c r="E58" s="23" t="s">
        <v>28</v>
      </c>
      <c r="F58" s="23" t="s">
        <v>29</v>
      </c>
      <c r="G58" s="13" t="s">
        <v>26</v>
      </c>
      <c r="H58" s="12" t="s">
        <v>30</v>
      </c>
      <c r="I58" s="6"/>
      <c r="J58" s="13" t="s">
        <v>31</v>
      </c>
      <c r="K58" s="13" t="s">
        <v>32</v>
      </c>
    </row>
    <row r="59" ht="27.75" customHeight="1">
      <c r="B59" s="24" t="str">
        <f>Marcos!A7</f>
        <v>M04</v>
      </c>
      <c r="C59" s="18" t="str">
        <f>Marcos!B7</f>
        <v>Encerramento da fase de desenvolvimento</v>
      </c>
      <c r="D59" s="5"/>
      <c r="E59" s="24" t="str">
        <f>Marcos!C7</f>
        <v>20/06/2026</v>
      </c>
      <c r="F59" s="25">
        <v>46198.0</v>
      </c>
      <c r="G59" s="24" t="str">
        <f>Riscos!A4</f>
        <v>R01</v>
      </c>
      <c r="H59" s="18" t="str">
        <f>Riscos!B4</f>
        <v>Atraso na integração com SAP por dependência de fornecedor externo</v>
      </c>
      <c r="I59" s="5"/>
      <c r="J59" s="24">
        <f>Riscos!F4</f>
        <v>25</v>
      </c>
      <c r="K59" s="24" t="str">
        <f>Riscos!C4</f>
        <v>Técnico</v>
      </c>
    </row>
    <row r="60" ht="21.75" customHeight="1">
      <c r="B60" s="24" t="str">
        <f>Marcos!A8</f>
        <v>M05</v>
      </c>
      <c r="C60" s="18" t="str">
        <f>Marcos!B8</f>
        <v>Início dos testes integrados</v>
      </c>
      <c r="D60" s="5"/>
      <c r="E60" s="24" t="str">
        <f>Marcos!C8</f>
        <v>21/06/2026</v>
      </c>
      <c r="F60" s="25">
        <v>46194.0</v>
      </c>
      <c r="G60" s="24" t="str">
        <f>Riscos!A5</f>
        <v>R02</v>
      </c>
      <c r="H60" s="18" t="str">
        <f>Riscos!B5</f>
        <v>Mudança de escopo solicitada pela área financeira</v>
      </c>
      <c r="I60" s="5"/>
      <c r="J60" s="24">
        <f>Riscos!F5</f>
        <v>16</v>
      </c>
      <c r="K60" s="24" t="str">
        <f>Riscos!C5</f>
        <v>Escopo</v>
      </c>
    </row>
    <row r="61" ht="21.75" customHeight="1">
      <c r="B61" s="24" t="str">
        <f>Marcos!A9</f>
        <v>M06</v>
      </c>
      <c r="C61" s="18" t="str">
        <f>Marcos!B9</f>
        <v>Conclusão do UAT</v>
      </c>
      <c r="D61" s="5"/>
      <c r="E61" s="24" t="str">
        <f>Marcos!C9</f>
        <v>10/07/2026</v>
      </c>
      <c r="F61" s="25">
        <v>46213.0</v>
      </c>
      <c r="G61" s="24" t="str">
        <f>Riscos!A6</f>
        <v>R03</v>
      </c>
      <c r="H61" s="18" t="str">
        <f>Riscos!B6</f>
        <v>Indisponibilidade de usuários-chave para UAT</v>
      </c>
      <c r="I61" s="5"/>
      <c r="J61" s="24">
        <f>Riscos!F6</f>
        <v>12</v>
      </c>
      <c r="K61" s="24" t="str">
        <f>Riscos!C6</f>
        <v>Recursos</v>
      </c>
    </row>
    <row r="62" ht="21.75" customHeight="1">
      <c r="B62" s="24" t="str">
        <f>Marcos!A10</f>
        <v>M07</v>
      </c>
      <c r="C62" s="18" t="str">
        <f>Marcos!B10</f>
        <v>Treinamento concluído</v>
      </c>
      <c r="D62" s="5"/>
      <c r="E62" s="24" t="str">
        <f>Marcos!C10</f>
        <v>30/07/2026</v>
      </c>
      <c r="F62" s="25">
        <v>46233.0</v>
      </c>
      <c r="G62" s="24" t="str">
        <f>Riscos!A7</f>
        <v>R04</v>
      </c>
      <c r="H62" s="18" t="str">
        <f>Riscos!B7</f>
        <v>Falhas de segurança detectadas em pentest</v>
      </c>
      <c r="I62" s="5"/>
      <c r="J62" s="24">
        <f>Riscos!F7</f>
        <v>15</v>
      </c>
      <c r="K62" s="24" t="str">
        <f>Riscos!C7</f>
        <v>Segurança</v>
      </c>
    </row>
    <row r="63" ht="21.75" customHeight="1">
      <c r="B63" s="24" t="str">
        <f>Marcos!A11</f>
        <v>M08</v>
      </c>
      <c r="C63" s="18" t="str">
        <f>Marcos!B11</f>
        <v>Go-Live em produção</v>
      </c>
      <c r="D63" s="5"/>
      <c r="E63" s="24" t="str">
        <f>Marcos!C11</f>
        <v>20/08/2026</v>
      </c>
      <c r="F63" s="25">
        <v>46262.0</v>
      </c>
      <c r="G63" s="24" t="str">
        <f>Riscos!A8</f>
        <v>R05</v>
      </c>
      <c r="H63" s="18" t="str">
        <f>Riscos!B8</f>
        <v>Estouro de orçamento por horas extras de desenvolvimento</v>
      </c>
      <c r="I63" s="5"/>
      <c r="J63" s="24">
        <f>Riscos!F8</f>
        <v>9</v>
      </c>
      <c r="K63" s="24" t="str">
        <f>Riscos!C8</f>
        <v>Custo</v>
      </c>
    </row>
    <row r="64" ht="21.75" customHeight="1">
      <c r="B64" s="24" t="str">
        <f>Marcos!A12</f>
        <v>M09</v>
      </c>
      <c r="C64" s="18" t="str">
        <f>Marcos!B12</f>
        <v>Encerramento do projeto</v>
      </c>
      <c r="D64" s="5"/>
      <c r="E64" s="24" t="str">
        <f>Marcos!C12</f>
        <v>30/11/2026</v>
      </c>
      <c r="F64" s="25">
        <v>46356.0</v>
      </c>
      <c r="G64" s="24" t="str">
        <f>Riscos!A9</f>
        <v>R06</v>
      </c>
      <c r="H64" s="18" t="str">
        <f>Riscos!B9</f>
        <v>Resistência de usuários à nova interface</v>
      </c>
      <c r="I64" s="5"/>
      <c r="J64" s="24">
        <f>Riscos!F9</f>
        <v>9</v>
      </c>
      <c r="K64" s="24" t="str">
        <f>Riscos!C9</f>
        <v>Pessoas</v>
      </c>
    </row>
    <row r="65" ht="15.75" customHeight="1"/>
    <row r="66" ht="13.5" customHeight="1"/>
    <row r="67" ht="24.0" customHeight="1">
      <c r="B67" s="22" t="s">
        <v>33</v>
      </c>
      <c r="C67" s="5"/>
      <c r="D67" s="5"/>
      <c r="E67" s="5"/>
      <c r="F67" s="6"/>
      <c r="G67" s="22" t="s">
        <v>34</v>
      </c>
      <c r="H67" s="5"/>
      <c r="I67" s="5"/>
      <c r="J67" s="5"/>
      <c r="K67" s="6"/>
    </row>
    <row r="68" ht="21.75" customHeight="1">
      <c r="B68" s="13" t="s">
        <v>26</v>
      </c>
      <c r="C68" s="12" t="s">
        <v>35</v>
      </c>
      <c r="D68" s="6"/>
      <c r="E68" s="13" t="s">
        <v>36</v>
      </c>
      <c r="F68" s="13" t="s">
        <v>37</v>
      </c>
      <c r="G68" s="13" t="s">
        <v>26</v>
      </c>
      <c r="H68" s="12" t="s">
        <v>30</v>
      </c>
      <c r="I68" s="6"/>
      <c r="J68" s="13" t="s">
        <v>38</v>
      </c>
      <c r="K68" s="13" t="s">
        <v>39</v>
      </c>
    </row>
    <row r="69" ht="21.75" customHeight="1">
      <c r="B69" s="24" t="str">
        <f>Atividades!A12</f>
        <v>A09</v>
      </c>
      <c r="C69" s="18" t="str">
        <f>Atividades!B12</f>
        <v>Integração com Banco - API</v>
      </c>
      <c r="D69" s="5"/>
      <c r="E69" s="24">
        <f>Atividades!H12</f>
        <v>5</v>
      </c>
      <c r="F69" s="26">
        <f>Atividades!F12</f>
        <v>0.7</v>
      </c>
      <c r="G69" s="24" t="str">
        <f>Problemas!A4</f>
        <v>P01</v>
      </c>
      <c r="H69" s="18" t="str">
        <f>Problemas!B4</f>
        <v>API do banco parceiro retornando erro 500 intermitente</v>
      </c>
      <c r="I69" s="5"/>
      <c r="J69" s="24" t="str">
        <f>Problemas!E4</f>
        <v>Alta</v>
      </c>
      <c r="K69" s="24" t="str">
        <f>Problemas!F4</f>
        <v>Em Tratamento</v>
      </c>
    </row>
    <row r="70" ht="21.75" customHeight="1">
      <c r="B70" s="24" t="str">
        <f>Atividades!A13</f>
        <v>A10</v>
      </c>
      <c r="C70" s="18" t="str">
        <f>Atividades!B13</f>
        <v>Integração com SAP</v>
      </c>
      <c r="D70" s="5"/>
      <c r="E70" s="24">
        <f>Atividades!H13</f>
        <v>2</v>
      </c>
      <c r="F70" s="26">
        <f>Atividades!F13</f>
        <v>0.5</v>
      </c>
      <c r="G70" s="24" t="str">
        <f>Problemas!A5</f>
        <v>P02</v>
      </c>
      <c r="H70" s="18" t="str">
        <f>Problemas!B5</f>
        <v>Ambiente de homologação indisponível por 2 dias</v>
      </c>
      <c r="I70" s="5"/>
      <c r="J70" s="24" t="str">
        <f>Problemas!E5</f>
        <v>Alta</v>
      </c>
      <c r="K70" s="24" t="str">
        <f>Problemas!F5</f>
        <v>Em Tratamento</v>
      </c>
    </row>
    <row r="71" ht="21.75" customHeight="1">
      <c r="B71" s="24" t="str">
        <f>Atividades!A14</f>
        <v>A11</v>
      </c>
      <c r="C71" s="18" t="str">
        <f>Atividades!B14</f>
        <v>Interface Web - Painéis</v>
      </c>
      <c r="D71" s="5"/>
      <c r="E71" s="24">
        <f>Atividades!H14</f>
        <v>10</v>
      </c>
      <c r="F71" s="26">
        <f>Atividades!F14</f>
        <v>0.4</v>
      </c>
      <c r="G71" s="24" t="str">
        <f>Problemas!A6</f>
        <v>P03</v>
      </c>
      <c r="H71" s="18" t="str">
        <f>Problemas!B6</f>
        <v>Falta de definição de regra de cálculo de juros</v>
      </c>
      <c r="I71" s="5"/>
      <c r="J71" s="24" t="str">
        <f>Problemas!E6</f>
        <v>Média</v>
      </c>
      <c r="K71" s="24" t="str">
        <f>Problemas!F6</f>
        <v>Aberto</v>
      </c>
    </row>
    <row r="72" ht="21.75" customHeight="1">
      <c r="B72" s="24" t="str">
        <f>Atividades!A16</f>
        <v>A13</v>
      </c>
      <c r="C72" s="18" t="str">
        <f>Atividades!B16</f>
        <v>Migração de dados legados</v>
      </c>
      <c r="D72" s="5"/>
      <c r="E72" s="24">
        <f>Atividades!H16</f>
        <v>8</v>
      </c>
      <c r="F72" s="26">
        <f>Atividades!F16</f>
        <v>0.2</v>
      </c>
      <c r="G72" s="24" t="str">
        <f>Problemas!A7</f>
        <v>P04</v>
      </c>
      <c r="H72" s="18" t="str">
        <f>Problemas!B7</f>
        <v>Recurso de QA em férias sem cobertura prevista</v>
      </c>
      <c r="I72" s="5"/>
      <c r="J72" s="24" t="str">
        <f>Problemas!E7</f>
        <v>Média</v>
      </c>
      <c r="K72" s="24" t="str">
        <f>Problemas!F7</f>
        <v>Em Tratamento</v>
      </c>
    </row>
    <row r="73" ht="21.75" customHeight="1">
      <c r="B73" s="24" t="str">
        <f>Atividades!A24</f>
        <v>A21</v>
      </c>
      <c r="C73" s="18" t="str">
        <f>Atividades!B24</f>
        <v>Documentação técnica módulos</v>
      </c>
      <c r="D73" s="5"/>
      <c r="E73" s="24">
        <f>Atividades!H24</f>
        <v>5</v>
      </c>
      <c r="F73" s="26">
        <f>Atividades!F24</f>
        <v>0.3</v>
      </c>
      <c r="G73" s="24" t="str">
        <f>Problemas!A8</f>
        <v>P05</v>
      </c>
      <c r="H73" s="18" t="str">
        <f>Problemas!B8</f>
        <v>Pentest apontou 3 vulnerabilidades médias</v>
      </c>
      <c r="I73" s="5"/>
      <c r="J73" s="24" t="str">
        <f>Problemas!E8</f>
        <v>Alta</v>
      </c>
      <c r="K73" s="24" t="str">
        <f>Problemas!F8</f>
        <v>Aberto</v>
      </c>
    </row>
    <row r="74" ht="21.75" customHeight="1">
      <c r="B74" s="24" t="str">
        <f>Atividades!A25</f>
        <v>A22</v>
      </c>
      <c r="C74" s="18" t="str">
        <f>Atividades!B25</f>
        <v>Revisão de segurança</v>
      </c>
      <c r="D74" s="5"/>
      <c r="E74" s="24">
        <f>Atividades!H25</f>
        <v>4</v>
      </c>
      <c r="F74" s="26">
        <f>Atividades!F25</f>
        <v>0.45</v>
      </c>
      <c r="G74" s="24" t="str">
        <f>Problemas!A9</f>
        <v>P06</v>
      </c>
      <c r="H74" s="18" t="str">
        <f>Problemas!B9</f>
        <v>Documentação técnica desatualizada para 2 módulos</v>
      </c>
      <c r="I74" s="5"/>
      <c r="J74" s="24" t="str">
        <f>Problemas!E9</f>
        <v>Baixa</v>
      </c>
      <c r="K74" s="24" t="str">
        <f>Problemas!F9</f>
        <v>Aberto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hidden="1" customHeight="1">
      <c r="B83" s="27" t="s">
        <v>40</v>
      </c>
      <c r="C83" s="27" t="s">
        <v>41</v>
      </c>
      <c r="E83" s="27" t="s">
        <v>42</v>
      </c>
      <c r="F83" s="27" t="s">
        <v>43</v>
      </c>
      <c r="H83" s="27" t="s">
        <v>9</v>
      </c>
      <c r="I83" s="27" t="s">
        <v>44</v>
      </c>
      <c r="K83" s="27" t="s">
        <v>38</v>
      </c>
      <c r="L83" s="27" t="s">
        <v>44</v>
      </c>
    </row>
    <row r="84" ht="15.75" hidden="1" customHeight="1">
      <c r="B84" s="27" t="s">
        <v>45</v>
      </c>
      <c r="C84" s="27">
        <f>'Parâmetros'!B14</f>
        <v>80</v>
      </c>
      <c r="E84" s="27" t="s">
        <v>46</v>
      </c>
      <c r="F84" s="28">
        <f>'Parâmetros'!B10</f>
        <v>920000</v>
      </c>
      <c r="H84" s="29" t="s">
        <v>47</v>
      </c>
      <c r="I84" s="29">
        <f>COUNTIF(Riscos!F4:F13,"&gt;=15")</f>
        <v>3</v>
      </c>
      <c r="K84" s="29" t="s">
        <v>48</v>
      </c>
      <c r="L84" s="29">
        <f>COUNTIF(Problemas!E4:E10,"Alta")</f>
        <v>4</v>
      </c>
    </row>
    <row r="85" ht="15.75" hidden="1" customHeight="1">
      <c r="B85" s="27" t="s">
        <v>49</v>
      </c>
      <c r="C85" s="27">
        <f>'Parâmetros'!B15</f>
        <v>48</v>
      </c>
      <c r="E85" s="27" t="s">
        <v>50</v>
      </c>
      <c r="F85" s="28">
        <f>'Parâmetros'!B9-'Parâmetros'!B10</f>
        <v>580000</v>
      </c>
      <c r="H85" s="29" t="s">
        <v>51</v>
      </c>
      <c r="I85" s="29">
        <f>COUNTIFS(Riscos!F4:F13,"&gt;=8",Riscos!F4:F13,"&lt;=14")</f>
        <v>6</v>
      </c>
      <c r="K85" s="29" t="s">
        <v>52</v>
      </c>
      <c r="L85" s="29">
        <f>COUNTIF(Problemas!E4:E10,"Média")</f>
        <v>2</v>
      </c>
    </row>
    <row r="86" ht="15.75" hidden="1" customHeight="1">
      <c r="B86" s="27" t="s">
        <v>53</v>
      </c>
      <c r="C86" s="27">
        <f>'Parâmetros'!B17</f>
        <v>9</v>
      </c>
      <c r="H86" s="27" t="s">
        <v>54</v>
      </c>
      <c r="I86" s="27">
        <f>COUNTIF(Riscos!F4:F13,"&lt;=7")</f>
        <v>1</v>
      </c>
      <c r="K86" s="27" t="s">
        <v>55</v>
      </c>
      <c r="L86" s="27">
        <f>COUNTIF(Problemas!E4:E10,"Baixa")</f>
        <v>1</v>
      </c>
    </row>
    <row r="87" ht="15.75" hidden="1" customHeight="1">
      <c r="B87" s="27" t="s">
        <v>56</v>
      </c>
      <c r="C87" s="27">
        <f>'Parâmetros'!B18</f>
        <v>5</v>
      </c>
    </row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>
      <c r="B93" s="27" t="s">
        <v>32</v>
      </c>
      <c r="C93" s="27" t="s">
        <v>57</v>
      </c>
    </row>
    <row r="94" ht="15.75" hidden="1" customHeight="1">
      <c r="B94" s="27" t="s">
        <v>58</v>
      </c>
      <c r="C94" s="27">
        <f>SUMIF(Riscos!C4:C13,B94,Riscos!F4:F13)</f>
        <v>33</v>
      </c>
    </row>
    <row r="95" ht="15.75" hidden="1" customHeight="1">
      <c r="B95" s="27" t="s">
        <v>59</v>
      </c>
      <c r="C95" s="27">
        <f>SUMIF(Riscos!C4:C13,B95,Riscos!F4:F13)</f>
        <v>16</v>
      </c>
    </row>
    <row r="96" ht="15.75" hidden="1" customHeight="1">
      <c r="B96" s="27" t="s">
        <v>60</v>
      </c>
      <c r="C96" s="27">
        <f>SUMIF(Riscos!C4:C13,B96,Riscos!F4:F13)</f>
        <v>12</v>
      </c>
    </row>
    <row r="97" ht="15.75" hidden="1" customHeight="1">
      <c r="B97" s="27" t="s">
        <v>61</v>
      </c>
      <c r="C97" s="27">
        <f>SUMIF(Riscos!C4:C13,B97,Riscos!F4:F13)</f>
        <v>15</v>
      </c>
    </row>
    <row r="98" ht="15.75" hidden="1" customHeight="1">
      <c r="B98" s="27" t="s">
        <v>62</v>
      </c>
      <c r="C98" s="27">
        <f>SUMIF(Riscos!C4:C13,B98,Riscos!F4:F13)</f>
        <v>9</v>
      </c>
    </row>
    <row r="99" ht="15.75" hidden="1" customHeight="1">
      <c r="B99" s="27" t="s">
        <v>63</v>
      </c>
      <c r="C99" s="27">
        <f>SUMIF(Riscos!C4:C13,B99,Riscos!F4:F13)</f>
        <v>15</v>
      </c>
    </row>
    <row r="100" ht="15.75" hidden="1" customHeight="1">
      <c r="B100" s="27" t="s">
        <v>64</v>
      </c>
      <c r="C100" s="27">
        <f>SUMIF(Riscos!C4:C13,B100,Riscos!F4:F13)</f>
        <v>8</v>
      </c>
    </row>
    <row r="101" ht="15.75" hidden="1" customHeight="1">
      <c r="B101" s="27" t="s">
        <v>65</v>
      </c>
      <c r="C101" s="27">
        <f>SUMIF(Riscos!C4:C13,B101,Riscos!F4:F13)</f>
        <v>10</v>
      </c>
    </row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59">
    <mergeCell ref="H69:I69"/>
    <mergeCell ref="H70:I70"/>
    <mergeCell ref="C71:D71"/>
    <mergeCell ref="H71:I71"/>
    <mergeCell ref="C72:D72"/>
    <mergeCell ref="H72:I72"/>
    <mergeCell ref="C73:D73"/>
    <mergeCell ref="H73:I73"/>
    <mergeCell ref="C74:D74"/>
    <mergeCell ref="H74:I74"/>
    <mergeCell ref="C64:D64"/>
    <mergeCell ref="B67:F67"/>
    <mergeCell ref="G67:K67"/>
    <mergeCell ref="C68:D68"/>
    <mergeCell ref="H68:I68"/>
    <mergeCell ref="C69:D69"/>
    <mergeCell ref="C70:D70"/>
    <mergeCell ref="B2:K2"/>
    <mergeCell ref="B3:K3"/>
    <mergeCell ref="B5:C5"/>
    <mergeCell ref="D5:E5"/>
    <mergeCell ref="F5:G5"/>
    <mergeCell ref="H5:I5"/>
    <mergeCell ref="J5:K5"/>
    <mergeCell ref="B10:D10"/>
    <mergeCell ref="B11:D11"/>
    <mergeCell ref="B12:D12"/>
    <mergeCell ref="B13:D13"/>
    <mergeCell ref="B14:D14"/>
    <mergeCell ref="B6:C6"/>
    <mergeCell ref="D6:E6"/>
    <mergeCell ref="F6:G6"/>
    <mergeCell ref="H6:I6"/>
    <mergeCell ref="J6:K6"/>
    <mergeCell ref="B9:K9"/>
    <mergeCell ref="H10:K10"/>
    <mergeCell ref="H11:K11"/>
    <mergeCell ref="H12:K12"/>
    <mergeCell ref="H13:K13"/>
    <mergeCell ref="H14:K14"/>
    <mergeCell ref="B16:K16"/>
    <mergeCell ref="B17:K17"/>
    <mergeCell ref="B36:K36"/>
    <mergeCell ref="H59:I59"/>
    <mergeCell ref="H60:I60"/>
    <mergeCell ref="B56:K56"/>
    <mergeCell ref="B57:F57"/>
    <mergeCell ref="G57:K57"/>
    <mergeCell ref="C58:D58"/>
    <mergeCell ref="H58:I58"/>
    <mergeCell ref="C59:D59"/>
    <mergeCell ref="C60:D60"/>
    <mergeCell ref="C61:D61"/>
    <mergeCell ref="H61:I61"/>
    <mergeCell ref="C62:D62"/>
    <mergeCell ref="H62:I62"/>
    <mergeCell ref="C63:D63"/>
    <mergeCell ref="H63:I63"/>
    <mergeCell ref="H64:I64"/>
  </mergeCells>
  <conditionalFormatting sqref="D6">
    <cfRule type="colorScale" priority="1">
      <colorScale>
        <cfvo type="formula" val="0"/>
        <cfvo type="formula" val="0.5"/>
        <cfvo type="formula" val="1"/>
        <color rgb="FFC00000"/>
        <color rgb="FFFFC000"/>
        <color rgb="FF70AD47"/>
      </colorScale>
    </cfRule>
  </conditionalFormatting>
  <conditionalFormatting sqref="F6">
    <cfRule type="colorScale" priority="2">
      <colorScale>
        <cfvo type="formula" val="0"/>
        <cfvo type="formula" val="0.7"/>
        <cfvo type="formula" val="1"/>
        <color rgb="FFC00000"/>
        <color rgb="FFFFC000"/>
        <color rgb="FF70AD47"/>
      </colorScale>
    </cfRule>
  </conditionalFormatting>
  <conditionalFormatting sqref="H6">
    <cfRule type="cellIs" dxfId="0" priority="3" operator="greaterThan">
      <formula>5</formula>
    </cfRule>
  </conditionalFormatting>
  <conditionalFormatting sqref="H6">
    <cfRule type="cellIs" dxfId="1" priority="4" operator="between">
      <formula>1</formula>
      <formula>5</formula>
    </cfRule>
  </conditionalFormatting>
  <conditionalFormatting sqref="H6">
    <cfRule type="cellIs" dxfId="2" priority="5" operator="equal">
      <formula>0</formula>
    </cfRule>
  </conditionalFormatting>
  <conditionalFormatting sqref="J6">
    <cfRule type="cellIs" dxfId="2" priority="6" operator="lessThan">
      <formula>0.8</formula>
    </cfRule>
  </conditionalFormatting>
  <conditionalFormatting sqref="J6">
    <cfRule type="cellIs" dxfId="1" priority="7" operator="between">
      <formula>0.8</formula>
      <formula>1</formula>
    </cfRule>
  </conditionalFormatting>
  <conditionalFormatting sqref="J6">
    <cfRule type="cellIs" dxfId="0" priority="8" operator="greaterThan">
      <formula>1</formula>
    </cfRule>
  </conditionalFormatting>
  <conditionalFormatting sqref="B6">
    <cfRule type="expression" dxfId="3" priority="9">
      <formula>AND($E$11&gt;=0.95,$E$12&gt;=0.95)</formula>
    </cfRule>
  </conditionalFormatting>
  <conditionalFormatting sqref="B6">
    <cfRule type="expression" dxfId="4" priority="10">
      <formula>OR($E$11&lt;0.85,$E$12&lt;0.85)</formula>
    </cfRule>
  </conditionalFormatting>
  <conditionalFormatting sqref="B6">
    <cfRule type="expression" dxfId="5" priority="11">
      <formula>AND(OR($E$11&lt;0.95,$E$12&lt;0.95),NOT(OR($E$11&lt;0.85,$E$12&lt;0.85)))</formula>
    </cfRule>
  </conditionalFormatting>
  <conditionalFormatting sqref="G11">
    <cfRule type="expression" dxfId="6" priority="12">
      <formula>$E$11&gt;=1</formula>
    </cfRule>
  </conditionalFormatting>
  <conditionalFormatting sqref="G11">
    <cfRule type="expression" dxfId="7" priority="13">
      <formula>AND($E$11&gt;=0.95,$E$11&lt;1)</formula>
    </cfRule>
  </conditionalFormatting>
  <conditionalFormatting sqref="G11">
    <cfRule type="expression" dxfId="8" priority="14">
      <formula>$E$11&lt;0.95</formula>
    </cfRule>
  </conditionalFormatting>
  <conditionalFormatting sqref="G12">
    <cfRule type="expression" dxfId="6" priority="15">
      <formula>$E$12&gt;=1</formula>
    </cfRule>
  </conditionalFormatting>
  <conditionalFormatting sqref="G12">
    <cfRule type="expression" dxfId="7" priority="16">
      <formula>AND($E$12&gt;=0.95,$E$12&lt;1)</formula>
    </cfRule>
  </conditionalFormatting>
  <conditionalFormatting sqref="G12">
    <cfRule type="expression" dxfId="8" priority="17">
      <formula>$E$12&lt;0.95</formula>
    </cfRule>
  </conditionalFormatting>
  <conditionalFormatting sqref="G13">
    <cfRule type="expression" dxfId="6" priority="18">
      <formula>$E$13&gt;=0</formula>
    </cfRule>
  </conditionalFormatting>
  <conditionalFormatting sqref="G13">
    <cfRule type="expression" dxfId="8" priority="19">
      <formula>$E$13&lt;0</formula>
    </cfRule>
  </conditionalFormatting>
  <conditionalFormatting sqref="G14">
    <cfRule type="expression" dxfId="6" priority="20">
      <formula>$E$14&gt;=0.9</formula>
    </cfRule>
  </conditionalFormatting>
  <conditionalFormatting sqref="G14">
    <cfRule type="expression" dxfId="7" priority="21">
      <formula>AND($E$14&gt;=0.7,$E$14&lt;0.9)</formula>
    </cfRule>
  </conditionalFormatting>
  <conditionalFormatting sqref="G14">
    <cfRule type="expression" dxfId="8" priority="22">
      <formula>$E$14&lt;0.7</formula>
    </cfRule>
  </conditionalFormatting>
  <conditionalFormatting sqref="F64">
    <cfRule type="cellIs" dxfId="9" priority="23" operator="equal">
      <formula>"Concluído"</formula>
    </cfRule>
  </conditionalFormatting>
  <conditionalFormatting sqref="F64">
    <cfRule type="cellIs" dxfId="10" priority="24" operator="equal">
      <formula>"Em Andamento"</formula>
    </cfRule>
  </conditionalFormatting>
  <conditionalFormatting sqref="F64">
    <cfRule type="cellIs" dxfId="11" priority="25" operator="equal">
      <formula>"Próximo"</formula>
    </cfRule>
  </conditionalFormatting>
  <conditionalFormatting sqref="J59:J64">
    <cfRule type="cellIs" dxfId="12" priority="26" operator="greaterThanOrEqual">
      <formula>15</formula>
    </cfRule>
  </conditionalFormatting>
  <conditionalFormatting sqref="J59:J64">
    <cfRule type="cellIs" dxfId="10" priority="27" operator="between">
      <formula>8</formula>
      <formula>14</formula>
    </cfRule>
  </conditionalFormatting>
  <conditionalFormatting sqref="J59:J64">
    <cfRule type="cellIs" dxfId="9" priority="28" operator="lessThanOrEqual">
      <formula>7</formula>
    </cfRule>
  </conditionalFormatting>
  <conditionalFormatting sqref="E69:E74">
    <cfRule type="colorScale" priority="29">
      <colorScale>
        <cfvo type="formula" val="0"/>
        <cfvo type="formula" val="5"/>
        <cfvo type="formula" val="15"/>
        <color rgb="FF70AD47"/>
        <color rgb="FFFFC000"/>
        <color rgb="FFC00000"/>
      </colorScale>
    </cfRule>
  </conditionalFormatting>
  <conditionalFormatting sqref="J69:J74">
    <cfRule type="cellIs" dxfId="12" priority="30" operator="equal">
      <formula>"Alta"</formula>
    </cfRule>
  </conditionalFormatting>
  <conditionalFormatting sqref="J69:J74">
    <cfRule type="cellIs" dxfId="10" priority="31" operator="equal">
      <formula>"Média"</formula>
    </cfRule>
  </conditionalFormatting>
  <conditionalFormatting sqref="J69:J74">
    <cfRule type="cellIs" dxfId="9" priority="32" operator="equal">
      <formula>"Baixa"</formula>
    </cfRule>
  </conditionalFormatting>
  <conditionalFormatting sqref="K69:K74">
    <cfRule type="cellIs" dxfId="12" priority="33" operator="equal">
      <formula>"Aberto"</formula>
    </cfRule>
  </conditionalFormatting>
  <conditionalFormatting sqref="K69:K74">
    <cfRule type="cellIs" dxfId="10" priority="34" operator="equal">
      <formula>"Em Tratamento"</formula>
    </cfRule>
  </conditionalFormatting>
  <conditionalFormatting sqref="K69:K74">
    <cfRule type="cellIs" dxfId="9" priority="35" operator="equal">
      <formula>"Resolvido"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39.57"/>
    <col customWidth="1" min="3" max="3" width="4.0"/>
    <col customWidth="1" min="4" max="4" width="60.0"/>
    <col customWidth="1" min="5" max="26" width="8.71"/>
  </cols>
  <sheetData>
    <row r="1" ht="34.5" customHeight="1">
      <c r="A1" s="1" t="s">
        <v>66</v>
      </c>
      <c r="B1" s="2"/>
      <c r="C1" s="2"/>
      <c r="D1" s="3"/>
    </row>
    <row r="3">
      <c r="A3" s="30" t="s">
        <v>67</v>
      </c>
      <c r="B3" s="31" t="s">
        <v>68</v>
      </c>
      <c r="D3" s="32" t="s">
        <v>69</v>
      </c>
    </row>
    <row r="4">
      <c r="A4" s="30" t="s">
        <v>70</v>
      </c>
      <c r="B4" s="31" t="s">
        <v>71</v>
      </c>
      <c r="D4" s="32" t="s">
        <v>72</v>
      </c>
    </row>
    <row r="5">
      <c r="A5" s="30" t="s">
        <v>73</v>
      </c>
      <c r="B5" s="33" t="s">
        <v>74</v>
      </c>
      <c r="D5" s="32" t="s">
        <v>75</v>
      </c>
    </row>
    <row r="6">
      <c r="A6" s="30" t="s">
        <v>76</v>
      </c>
      <c r="B6" s="33" t="s">
        <v>77</v>
      </c>
    </row>
    <row r="7">
      <c r="A7" s="30" t="s">
        <v>78</v>
      </c>
      <c r="B7" s="33" t="s">
        <v>79</v>
      </c>
    </row>
    <row r="8">
      <c r="A8" s="30" t="s">
        <v>80</v>
      </c>
      <c r="B8" s="33" t="s">
        <v>81</v>
      </c>
    </row>
    <row r="9">
      <c r="A9" s="30" t="s">
        <v>82</v>
      </c>
      <c r="B9" s="34">
        <v>1500000.0</v>
      </c>
    </row>
    <row r="10">
      <c r="A10" s="30" t="s">
        <v>83</v>
      </c>
      <c r="B10" s="34">
        <v>920000.0</v>
      </c>
    </row>
    <row r="11">
      <c r="A11" s="30" t="s">
        <v>84</v>
      </c>
      <c r="B11" s="34">
        <v>975000.0</v>
      </c>
    </row>
    <row r="12">
      <c r="A12" s="30" t="s">
        <v>85</v>
      </c>
      <c r="B12" s="33">
        <v>24.0</v>
      </c>
    </row>
    <row r="13">
      <c r="A13" s="30" t="s">
        <v>86</v>
      </c>
      <c r="B13" s="33">
        <v>15.0</v>
      </c>
    </row>
    <row r="14">
      <c r="A14" s="30" t="s">
        <v>87</v>
      </c>
      <c r="B14" s="33">
        <v>80.0</v>
      </c>
    </row>
    <row r="15">
      <c r="A15" s="30" t="s">
        <v>88</v>
      </c>
      <c r="B15" s="33">
        <v>48.0</v>
      </c>
    </row>
    <row r="16">
      <c r="A16" s="30" t="s">
        <v>89</v>
      </c>
      <c r="B16" s="33">
        <v>18.0</v>
      </c>
    </row>
    <row r="17">
      <c r="A17" s="30" t="s">
        <v>90</v>
      </c>
      <c r="B17" s="33">
        <v>9.0</v>
      </c>
    </row>
    <row r="18">
      <c r="A18" s="30" t="s">
        <v>91</v>
      </c>
      <c r="B18" s="33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8.0"/>
    <col customWidth="1" min="3" max="3" width="18.0"/>
    <col customWidth="1" min="4" max="5" width="16.0"/>
    <col customWidth="1" min="6" max="6" width="14.0"/>
    <col customWidth="1" min="7" max="7" width="16.0"/>
    <col customWidth="1" min="8" max="8" width="14.0"/>
    <col customWidth="1" min="9" max="26" width="8.71"/>
  </cols>
  <sheetData>
    <row r="1" ht="34.5" customHeight="1">
      <c r="A1" s="1" t="s">
        <v>92</v>
      </c>
      <c r="B1" s="2"/>
      <c r="C1" s="2"/>
      <c r="D1" s="2"/>
      <c r="E1" s="2"/>
      <c r="F1" s="2"/>
      <c r="G1" s="2"/>
      <c r="H1" s="3"/>
    </row>
    <row r="3" ht="27.75" customHeight="1">
      <c r="A3" s="13" t="s">
        <v>26</v>
      </c>
      <c r="B3" s="13" t="s">
        <v>35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39</v>
      </c>
      <c r="H3" s="13" t="s">
        <v>97</v>
      </c>
    </row>
    <row r="4">
      <c r="A4" s="24" t="s">
        <v>98</v>
      </c>
      <c r="B4" s="35" t="s">
        <v>99</v>
      </c>
      <c r="C4" s="24" t="s">
        <v>100</v>
      </c>
      <c r="D4" s="24" t="s">
        <v>77</v>
      </c>
      <c r="E4" s="24" t="s">
        <v>101</v>
      </c>
      <c r="F4" s="26">
        <v>1.0</v>
      </c>
      <c r="G4" s="24" t="s">
        <v>102</v>
      </c>
      <c r="H4" s="24">
        <v>0.0</v>
      </c>
    </row>
    <row r="5">
      <c r="A5" s="24" t="s">
        <v>103</v>
      </c>
      <c r="B5" s="35" t="s">
        <v>104</v>
      </c>
      <c r="C5" s="24" t="s">
        <v>100</v>
      </c>
      <c r="D5" s="24" t="s">
        <v>105</v>
      </c>
      <c r="E5" s="24" t="s">
        <v>106</v>
      </c>
      <c r="F5" s="26">
        <v>1.0</v>
      </c>
      <c r="G5" s="24" t="s">
        <v>102</v>
      </c>
      <c r="H5" s="24">
        <v>0.0</v>
      </c>
    </row>
    <row r="6">
      <c r="A6" s="24" t="s">
        <v>107</v>
      </c>
      <c r="B6" s="35" t="s">
        <v>108</v>
      </c>
      <c r="C6" s="24" t="s">
        <v>100</v>
      </c>
      <c r="D6" s="24" t="s">
        <v>109</v>
      </c>
      <c r="E6" s="24" t="s">
        <v>110</v>
      </c>
      <c r="F6" s="26">
        <v>1.0</v>
      </c>
      <c r="G6" s="24" t="s">
        <v>102</v>
      </c>
      <c r="H6" s="24">
        <v>0.0</v>
      </c>
    </row>
    <row r="7">
      <c r="A7" s="24" t="s">
        <v>111</v>
      </c>
      <c r="B7" s="35" t="s">
        <v>112</v>
      </c>
      <c r="C7" s="24" t="s">
        <v>113</v>
      </c>
      <c r="D7" s="24" t="s">
        <v>114</v>
      </c>
      <c r="E7" s="24" t="s">
        <v>115</v>
      </c>
      <c r="F7" s="26">
        <v>1.0</v>
      </c>
      <c r="G7" s="24" t="s">
        <v>102</v>
      </c>
      <c r="H7" s="24">
        <v>0.0</v>
      </c>
    </row>
    <row r="8">
      <c r="A8" s="24" t="s">
        <v>116</v>
      </c>
      <c r="B8" s="35" t="s">
        <v>117</v>
      </c>
      <c r="C8" s="24" t="s">
        <v>118</v>
      </c>
      <c r="D8" s="24" t="s">
        <v>119</v>
      </c>
      <c r="E8" s="24" t="s">
        <v>120</v>
      </c>
      <c r="F8" s="26">
        <v>1.0</v>
      </c>
      <c r="G8" s="24" t="s">
        <v>102</v>
      </c>
      <c r="H8" s="24">
        <v>0.0</v>
      </c>
    </row>
    <row r="9">
      <c r="A9" s="24" t="s">
        <v>121</v>
      </c>
      <c r="B9" s="35" t="s">
        <v>122</v>
      </c>
      <c r="C9" s="24" t="s">
        <v>123</v>
      </c>
      <c r="D9" s="24" t="s">
        <v>120</v>
      </c>
      <c r="E9" s="24" t="s">
        <v>81</v>
      </c>
      <c r="F9" s="26">
        <v>0.85</v>
      </c>
      <c r="G9" s="24" t="s">
        <v>49</v>
      </c>
      <c r="H9" s="24">
        <v>0.0</v>
      </c>
    </row>
    <row r="10">
      <c r="A10" s="24" t="s">
        <v>124</v>
      </c>
      <c r="B10" s="35" t="s">
        <v>125</v>
      </c>
      <c r="C10" s="24" t="s">
        <v>123</v>
      </c>
      <c r="D10" s="24" t="s">
        <v>126</v>
      </c>
      <c r="E10" s="24" t="s">
        <v>127</v>
      </c>
      <c r="F10" s="26">
        <v>0.6</v>
      </c>
      <c r="G10" s="24" t="s">
        <v>49</v>
      </c>
      <c r="H10" s="24">
        <v>0.0</v>
      </c>
    </row>
    <row r="11">
      <c r="A11" s="24" t="s">
        <v>128</v>
      </c>
      <c r="B11" s="35" t="s">
        <v>129</v>
      </c>
      <c r="C11" s="24" t="s">
        <v>123</v>
      </c>
      <c r="D11" s="24" t="s">
        <v>130</v>
      </c>
      <c r="E11" s="24" t="s">
        <v>131</v>
      </c>
      <c r="F11" s="26">
        <v>0.3</v>
      </c>
      <c r="G11" s="24" t="s">
        <v>49</v>
      </c>
      <c r="H11" s="24">
        <v>0.0</v>
      </c>
    </row>
    <row r="12">
      <c r="A12" s="24" t="s">
        <v>132</v>
      </c>
      <c r="B12" s="35" t="s">
        <v>133</v>
      </c>
      <c r="C12" s="24" t="s">
        <v>134</v>
      </c>
      <c r="D12" s="24" t="s">
        <v>126</v>
      </c>
      <c r="E12" s="24" t="s">
        <v>135</v>
      </c>
      <c r="F12" s="26">
        <v>0.7</v>
      </c>
      <c r="G12" s="24" t="s">
        <v>136</v>
      </c>
      <c r="H12" s="24">
        <v>5.0</v>
      </c>
    </row>
    <row r="13">
      <c r="A13" s="24" t="s">
        <v>137</v>
      </c>
      <c r="B13" s="35" t="s">
        <v>138</v>
      </c>
      <c r="C13" s="24" t="s">
        <v>134</v>
      </c>
      <c r="D13" s="24" t="s">
        <v>139</v>
      </c>
      <c r="E13" s="24" t="s">
        <v>140</v>
      </c>
      <c r="F13" s="26">
        <v>0.5</v>
      </c>
      <c r="G13" s="24" t="s">
        <v>136</v>
      </c>
      <c r="H13" s="24">
        <v>2.0</v>
      </c>
    </row>
    <row r="14">
      <c r="A14" s="24" t="s">
        <v>141</v>
      </c>
      <c r="B14" s="35" t="s">
        <v>142</v>
      </c>
      <c r="C14" s="24" t="s">
        <v>143</v>
      </c>
      <c r="D14" s="24" t="s">
        <v>126</v>
      </c>
      <c r="E14" s="24" t="s">
        <v>130</v>
      </c>
      <c r="F14" s="26">
        <v>0.4</v>
      </c>
      <c r="G14" s="24" t="s">
        <v>136</v>
      </c>
      <c r="H14" s="24">
        <v>10.0</v>
      </c>
    </row>
    <row r="15">
      <c r="A15" s="24" t="s">
        <v>144</v>
      </c>
      <c r="B15" s="35" t="s">
        <v>145</v>
      </c>
      <c r="C15" s="24" t="s">
        <v>143</v>
      </c>
      <c r="D15" s="24" t="s">
        <v>130</v>
      </c>
      <c r="E15" s="24" t="s">
        <v>81</v>
      </c>
      <c r="F15" s="26">
        <v>0.3</v>
      </c>
      <c r="G15" s="24" t="s">
        <v>136</v>
      </c>
      <c r="H15" s="24">
        <v>0.0</v>
      </c>
    </row>
    <row r="16">
      <c r="A16" s="24" t="s">
        <v>146</v>
      </c>
      <c r="B16" s="35" t="s">
        <v>147</v>
      </c>
      <c r="C16" s="24" t="s">
        <v>148</v>
      </c>
      <c r="D16" s="24" t="s">
        <v>126</v>
      </c>
      <c r="E16" s="24" t="s">
        <v>149</v>
      </c>
      <c r="F16" s="26">
        <v>0.2</v>
      </c>
      <c r="G16" s="24" t="s">
        <v>136</v>
      </c>
      <c r="H16" s="24">
        <v>8.0</v>
      </c>
    </row>
    <row r="17">
      <c r="A17" s="24" t="s">
        <v>150</v>
      </c>
      <c r="B17" s="35" t="s">
        <v>151</v>
      </c>
      <c r="C17" s="24" t="s">
        <v>152</v>
      </c>
      <c r="D17" s="24" t="s">
        <v>135</v>
      </c>
      <c r="E17" s="24" t="s">
        <v>127</v>
      </c>
      <c r="F17" s="26">
        <v>0.15</v>
      </c>
      <c r="G17" s="24" t="s">
        <v>49</v>
      </c>
      <c r="H17" s="24">
        <v>0.0</v>
      </c>
    </row>
    <row r="18">
      <c r="A18" s="24" t="s">
        <v>153</v>
      </c>
      <c r="B18" s="35" t="s">
        <v>154</v>
      </c>
      <c r="C18" s="24" t="s">
        <v>152</v>
      </c>
      <c r="D18" s="24" t="s">
        <v>155</v>
      </c>
      <c r="E18" s="24" t="s">
        <v>156</v>
      </c>
      <c r="F18" s="26">
        <v>0.0</v>
      </c>
      <c r="G18" s="24" t="s">
        <v>157</v>
      </c>
      <c r="H18" s="24">
        <v>0.0</v>
      </c>
    </row>
    <row r="19">
      <c r="A19" s="24" t="s">
        <v>158</v>
      </c>
      <c r="B19" s="35" t="s">
        <v>159</v>
      </c>
      <c r="C19" s="24" t="s">
        <v>160</v>
      </c>
      <c r="D19" s="24" t="s">
        <v>161</v>
      </c>
      <c r="E19" s="24" t="s">
        <v>162</v>
      </c>
      <c r="F19" s="26">
        <v>0.0</v>
      </c>
      <c r="G19" s="24" t="s">
        <v>157</v>
      </c>
      <c r="H19" s="24">
        <v>0.0</v>
      </c>
    </row>
    <row r="20">
      <c r="A20" s="24" t="s">
        <v>163</v>
      </c>
      <c r="B20" s="35" t="s">
        <v>164</v>
      </c>
      <c r="C20" s="24" t="s">
        <v>165</v>
      </c>
      <c r="D20" s="24" t="s">
        <v>166</v>
      </c>
      <c r="E20" s="24" t="s">
        <v>167</v>
      </c>
      <c r="F20" s="26">
        <v>0.0</v>
      </c>
      <c r="G20" s="24" t="s">
        <v>157</v>
      </c>
      <c r="H20" s="24">
        <v>0.0</v>
      </c>
    </row>
    <row r="21" ht="15.75" customHeight="1">
      <c r="A21" s="24" t="s">
        <v>168</v>
      </c>
      <c r="B21" s="35" t="s">
        <v>169</v>
      </c>
      <c r="C21" s="24" t="s">
        <v>170</v>
      </c>
      <c r="D21" s="24" t="s">
        <v>171</v>
      </c>
      <c r="E21" s="24" t="s">
        <v>172</v>
      </c>
      <c r="F21" s="26">
        <v>0.0</v>
      </c>
      <c r="G21" s="24" t="s">
        <v>157</v>
      </c>
      <c r="H21" s="24">
        <v>0.0</v>
      </c>
    </row>
    <row r="22" ht="15.75" customHeight="1">
      <c r="A22" s="24" t="s">
        <v>173</v>
      </c>
      <c r="B22" s="35" t="s">
        <v>174</v>
      </c>
      <c r="C22" s="24" t="s">
        <v>175</v>
      </c>
      <c r="D22" s="24" t="s">
        <v>176</v>
      </c>
      <c r="E22" s="24" t="s">
        <v>177</v>
      </c>
      <c r="F22" s="26">
        <v>0.0</v>
      </c>
      <c r="G22" s="24" t="s">
        <v>157</v>
      </c>
      <c r="H22" s="24">
        <v>0.0</v>
      </c>
    </row>
    <row r="23" ht="15.75" customHeight="1">
      <c r="A23" s="24" t="s">
        <v>178</v>
      </c>
      <c r="B23" s="35" t="s">
        <v>179</v>
      </c>
      <c r="C23" s="24" t="s">
        <v>180</v>
      </c>
      <c r="D23" s="24" t="s">
        <v>181</v>
      </c>
      <c r="E23" s="24" t="s">
        <v>182</v>
      </c>
      <c r="F23" s="26">
        <v>0.0</v>
      </c>
      <c r="G23" s="24" t="s">
        <v>157</v>
      </c>
      <c r="H23" s="24">
        <v>0.0</v>
      </c>
    </row>
    <row r="24" ht="15.75" customHeight="1">
      <c r="A24" s="24" t="s">
        <v>183</v>
      </c>
      <c r="B24" s="35" t="s">
        <v>184</v>
      </c>
      <c r="C24" s="24" t="s">
        <v>185</v>
      </c>
      <c r="D24" s="24" t="s">
        <v>126</v>
      </c>
      <c r="E24" s="24" t="s">
        <v>135</v>
      </c>
      <c r="F24" s="26">
        <v>0.3</v>
      </c>
      <c r="G24" s="24" t="s">
        <v>136</v>
      </c>
      <c r="H24" s="24">
        <v>5.0</v>
      </c>
    </row>
    <row r="25" ht="15.75" customHeight="1">
      <c r="A25" s="24" t="s">
        <v>186</v>
      </c>
      <c r="B25" s="35" t="s">
        <v>187</v>
      </c>
      <c r="C25" s="24" t="s">
        <v>188</v>
      </c>
      <c r="D25" s="24" t="s">
        <v>139</v>
      </c>
      <c r="E25" s="24" t="s">
        <v>189</v>
      </c>
      <c r="F25" s="26">
        <v>0.45</v>
      </c>
      <c r="G25" s="24" t="s">
        <v>136</v>
      </c>
      <c r="H25" s="24">
        <v>4.0</v>
      </c>
    </row>
    <row r="26" ht="15.75" customHeight="1">
      <c r="A26" s="24" t="s">
        <v>190</v>
      </c>
      <c r="B26" s="35" t="s">
        <v>191</v>
      </c>
      <c r="C26" s="24" t="s">
        <v>188</v>
      </c>
      <c r="D26" s="24" t="s">
        <v>130</v>
      </c>
      <c r="E26" s="24" t="s">
        <v>140</v>
      </c>
      <c r="F26" s="26">
        <v>0.2</v>
      </c>
      <c r="G26" s="24" t="s">
        <v>136</v>
      </c>
      <c r="H26" s="24">
        <v>2.0</v>
      </c>
    </row>
    <row r="27" ht="15.75" customHeight="1">
      <c r="A27" s="24" t="s">
        <v>192</v>
      </c>
      <c r="B27" s="35" t="s">
        <v>193</v>
      </c>
      <c r="C27" s="24" t="s">
        <v>194</v>
      </c>
      <c r="D27" s="24" t="s">
        <v>130</v>
      </c>
      <c r="E27" s="24" t="s">
        <v>195</v>
      </c>
      <c r="F27" s="26">
        <v>0.1</v>
      </c>
      <c r="G27" s="24" t="s">
        <v>136</v>
      </c>
      <c r="H27" s="24">
        <v>3.0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conditionalFormatting sqref="G4:G27">
    <cfRule type="cellIs" dxfId="9" priority="1" operator="equal">
      <formula>"Concluído"</formula>
    </cfRule>
  </conditionalFormatting>
  <conditionalFormatting sqref="G4:G27">
    <cfRule type="cellIs" dxfId="11" priority="2" operator="equal">
      <formula>"Em Andamento"</formula>
    </cfRule>
  </conditionalFormatting>
  <conditionalFormatting sqref="G4:G27">
    <cfRule type="cellIs" dxfId="12" priority="3" operator="equal">
      <formula>"Atrasado"</formula>
    </cfRule>
  </conditionalFormatting>
  <conditionalFormatting sqref="G4:G27">
    <cfRule type="cellIs" dxfId="13" priority="4" operator="equal">
      <formula>"Não Iniciado"</formula>
    </cfRule>
  </conditionalFormatting>
  <conditionalFormatting sqref="H4:H27">
    <cfRule type="colorScale" priority="5">
      <colorScale>
        <cfvo type="formula" val="0"/>
        <cfvo type="formula" val="5"/>
        <cfvo type="formula" val="15"/>
        <color rgb="FF70AD47"/>
        <color rgb="FFFFC000"/>
        <color rgb="FFC00000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50.0"/>
    <col customWidth="1" min="3" max="3" width="14.0"/>
    <col customWidth="1" min="4" max="4" width="16.0"/>
    <col customWidth="1" min="5" max="6" width="14.0"/>
    <col customWidth="1" min="7" max="7" width="45.0"/>
    <col customWidth="1" min="8" max="8" width="8.71"/>
    <col customWidth="1" min="9" max="10" width="14.0"/>
    <col customWidth="1" min="11" max="11" width="18.0"/>
    <col customWidth="1" min="12" max="26" width="8.71"/>
  </cols>
  <sheetData>
    <row r="1" ht="34.5" customHeight="1">
      <c r="A1" s="1" t="s">
        <v>196</v>
      </c>
      <c r="B1" s="2"/>
      <c r="C1" s="2"/>
      <c r="D1" s="2"/>
      <c r="E1" s="2"/>
      <c r="F1" s="2"/>
      <c r="G1" s="3"/>
    </row>
    <row r="3" ht="30.0" customHeight="1">
      <c r="A3" s="13" t="s">
        <v>26</v>
      </c>
      <c r="B3" s="13" t="s">
        <v>197</v>
      </c>
      <c r="C3" s="13" t="s">
        <v>32</v>
      </c>
      <c r="D3" s="13" t="s">
        <v>198</v>
      </c>
      <c r="E3" s="13" t="s">
        <v>199</v>
      </c>
      <c r="F3" s="13" t="s">
        <v>31</v>
      </c>
      <c r="G3" s="13" t="s">
        <v>200</v>
      </c>
      <c r="I3" s="13" t="s">
        <v>32</v>
      </c>
      <c r="J3" s="13" t="s">
        <v>201</v>
      </c>
      <c r="K3" s="13" t="s">
        <v>57</v>
      </c>
    </row>
    <row r="4">
      <c r="A4" s="24" t="s">
        <v>202</v>
      </c>
      <c r="B4" s="36" t="s">
        <v>203</v>
      </c>
      <c r="C4" s="24" t="s">
        <v>58</v>
      </c>
      <c r="D4" s="24">
        <v>5.0</v>
      </c>
      <c r="E4" s="24">
        <v>5.0</v>
      </c>
      <c r="F4" s="24">
        <f t="shared" ref="F4:F13" si="1">D4*E4</f>
        <v>25</v>
      </c>
      <c r="G4" s="36" t="s">
        <v>204</v>
      </c>
      <c r="I4" s="24" t="s">
        <v>58</v>
      </c>
      <c r="J4" s="24">
        <f>COUNTIF(C4:C13,I4)</f>
        <v>2</v>
      </c>
      <c r="K4" s="24">
        <f>SUMIF(C4:C13,I4,F4:F13)</f>
        <v>33</v>
      </c>
    </row>
    <row r="5">
      <c r="A5" s="24" t="s">
        <v>205</v>
      </c>
      <c r="B5" s="36" t="s">
        <v>206</v>
      </c>
      <c r="C5" s="24" t="s">
        <v>59</v>
      </c>
      <c r="D5" s="24">
        <v>4.0</v>
      </c>
      <c r="E5" s="24">
        <v>4.0</v>
      </c>
      <c r="F5" s="24">
        <f t="shared" si="1"/>
        <v>16</v>
      </c>
      <c r="G5" s="36" t="s">
        <v>207</v>
      </c>
      <c r="I5" s="24" t="s">
        <v>59</v>
      </c>
      <c r="J5" s="24">
        <f>COUNTIF(C4:C13,I5)</f>
        <v>1</v>
      </c>
      <c r="K5" s="24">
        <f>SUMIF(C4:C13,I5,F4:F13)</f>
        <v>16</v>
      </c>
    </row>
    <row r="6">
      <c r="A6" s="24" t="s">
        <v>208</v>
      </c>
      <c r="B6" s="36" t="s">
        <v>209</v>
      </c>
      <c r="C6" s="24" t="s">
        <v>60</v>
      </c>
      <c r="D6" s="24">
        <v>3.0</v>
      </c>
      <c r="E6" s="24">
        <v>4.0</v>
      </c>
      <c r="F6" s="24">
        <f t="shared" si="1"/>
        <v>12</v>
      </c>
      <c r="G6" s="36" t="s">
        <v>210</v>
      </c>
      <c r="I6" s="24" t="s">
        <v>60</v>
      </c>
      <c r="J6" s="24">
        <f>COUNTIF(C4:C13,I6)</f>
        <v>1</v>
      </c>
      <c r="K6" s="24">
        <f>SUMIF(C4:C13,I6,F4:F13)</f>
        <v>12</v>
      </c>
    </row>
    <row r="7">
      <c r="A7" s="24" t="s">
        <v>211</v>
      </c>
      <c r="B7" s="36" t="s">
        <v>212</v>
      </c>
      <c r="C7" s="24" t="s">
        <v>61</v>
      </c>
      <c r="D7" s="24">
        <v>3.0</v>
      </c>
      <c r="E7" s="24">
        <v>5.0</v>
      </c>
      <c r="F7" s="24">
        <f t="shared" si="1"/>
        <v>15</v>
      </c>
      <c r="G7" s="36" t="s">
        <v>213</v>
      </c>
      <c r="I7" s="24" t="s">
        <v>61</v>
      </c>
      <c r="J7" s="24">
        <f>COUNTIF(C4:C13,I7)</f>
        <v>1</v>
      </c>
      <c r="K7" s="24">
        <f>SUMIF(C4:C13,I7,F4:F13)</f>
        <v>15</v>
      </c>
    </row>
    <row r="8">
      <c r="A8" s="24" t="s">
        <v>214</v>
      </c>
      <c r="B8" s="36" t="s">
        <v>215</v>
      </c>
      <c r="C8" s="24" t="s">
        <v>62</v>
      </c>
      <c r="D8" s="24">
        <v>3.0</v>
      </c>
      <c r="E8" s="24">
        <v>3.0</v>
      </c>
      <c r="F8" s="24">
        <f t="shared" si="1"/>
        <v>9</v>
      </c>
      <c r="G8" s="36" t="s">
        <v>216</v>
      </c>
      <c r="I8" s="24" t="s">
        <v>62</v>
      </c>
      <c r="J8" s="24">
        <f>COUNTIF(C4:C13,I8)</f>
        <v>1</v>
      </c>
      <c r="K8" s="24">
        <f>SUMIF(C4:C13,I8,F4:F13)</f>
        <v>9</v>
      </c>
    </row>
    <row r="9">
      <c r="A9" s="24" t="s">
        <v>217</v>
      </c>
      <c r="B9" s="36" t="s">
        <v>218</v>
      </c>
      <c r="C9" s="24" t="s">
        <v>63</v>
      </c>
      <c r="D9" s="24">
        <v>3.0</v>
      </c>
      <c r="E9" s="24">
        <v>3.0</v>
      </c>
      <c r="F9" s="24">
        <f t="shared" si="1"/>
        <v>9</v>
      </c>
      <c r="G9" s="36" t="s">
        <v>219</v>
      </c>
      <c r="I9" s="24" t="s">
        <v>63</v>
      </c>
      <c r="J9" s="24">
        <f>COUNTIF(C4:C13,I9)</f>
        <v>2</v>
      </c>
      <c r="K9" s="24">
        <f>SUMIF(C4:C13,I9,F4:F13)</f>
        <v>15</v>
      </c>
    </row>
    <row r="10">
      <c r="A10" s="24" t="s">
        <v>220</v>
      </c>
      <c r="B10" s="36" t="s">
        <v>221</v>
      </c>
      <c r="C10" s="24" t="s">
        <v>58</v>
      </c>
      <c r="D10" s="24">
        <v>2.0</v>
      </c>
      <c r="E10" s="24">
        <v>4.0</v>
      </c>
      <c r="F10" s="24">
        <f t="shared" si="1"/>
        <v>8</v>
      </c>
      <c r="G10" s="36" t="s">
        <v>222</v>
      </c>
      <c r="I10" s="24" t="s">
        <v>64</v>
      </c>
      <c r="J10" s="24">
        <f>COUNTIF(C4:C13,I10)</f>
        <v>1</v>
      </c>
      <c r="K10" s="24">
        <f>SUMIF(C4:C13,I10,F4:F13)</f>
        <v>8</v>
      </c>
    </row>
    <row r="11">
      <c r="A11" s="24" t="s">
        <v>223</v>
      </c>
      <c r="B11" s="36" t="s">
        <v>224</v>
      </c>
      <c r="C11" s="24" t="s">
        <v>64</v>
      </c>
      <c r="D11" s="24">
        <v>2.0</v>
      </c>
      <c r="E11" s="24">
        <v>4.0</v>
      </c>
      <c r="F11" s="24">
        <f t="shared" si="1"/>
        <v>8</v>
      </c>
      <c r="G11" s="36" t="s">
        <v>225</v>
      </c>
      <c r="I11" s="24" t="s">
        <v>65</v>
      </c>
      <c r="J11" s="24">
        <f>COUNTIF(C4:C13,I11)</f>
        <v>1</v>
      </c>
      <c r="K11" s="24">
        <f>SUMIF(C4:C13,I11,F4:F13)</f>
        <v>10</v>
      </c>
    </row>
    <row r="12">
      <c r="A12" s="24" t="s">
        <v>226</v>
      </c>
      <c r="B12" s="36" t="s">
        <v>227</v>
      </c>
      <c r="C12" s="24" t="s">
        <v>63</v>
      </c>
      <c r="D12" s="24">
        <v>2.0</v>
      </c>
      <c r="E12" s="24">
        <v>3.0</v>
      </c>
      <c r="F12" s="24">
        <f t="shared" si="1"/>
        <v>6</v>
      </c>
      <c r="G12" s="36" t="s">
        <v>228</v>
      </c>
    </row>
    <row r="13">
      <c r="A13" s="24" t="s">
        <v>229</v>
      </c>
      <c r="B13" s="36" t="s">
        <v>230</v>
      </c>
      <c r="C13" s="24" t="s">
        <v>65</v>
      </c>
      <c r="D13" s="24">
        <v>2.0</v>
      </c>
      <c r="E13" s="24">
        <v>5.0</v>
      </c>
      <c r="F13" s="24">
        <f t="shared" si="1"/>
        <v>10</v>
      </c>
      <c r="G13" s="36" t="s">
        <v>231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conditionalFormatting sqref="F4:F13">
    <cfRule type="cellIs" dxfId="12" priority="1" operator="greaterThanOrEqual">
      <formula>15</formula>
    </cfRule>
  </conditionalFormatting>
  <conditionalFormatting sqref="F4:F13">
    <cfRule type="cellIs" dxfId="10" priority="2" operator="between">
      <formula>8</formula>
      <formula>14</formula>
    </cfRule>
  </conditionalFormatting>
  <conditionalFormatting sqref="F4:F13">
    <cfRule type="cellIs" dxfId="9" priority="3" operator="lessThanOrEqual">
      <formula>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42.0"/>
    <col customWidth="1" min="3" max="3" width="18.0"/>
    <col customWidth="1" min="4" max="4" width="16.0"/>
    <col customWidth="1" min="5" max="5" width="45.0"/>
    <col customWidth="1" min="6" max="26" width="8.71"/>
  </cols>
  <sheetData>
    <row r="1" ht="34.5" customHeight="1">
      <c r="A1" s="1" t="s">
        <v>232</v>
      </c>
      <c r="B1" s="2"/>
      <c r="C1" s="2"/>
      <c r="D1" s="2"/>
      <c r="E1" s="3"/>
    </row>
    <row r="3" ht="27.75" customHeight="1">
      <c r="A3" s="13" t="s">
        <v>26</v>
      </c>
      <c r="B3" s="13" t="s">
        <v>27</v>
      </c>
      <c r="C3" s="13" t="s">
        <v>233</v>
      </c>
      <c r="D3" s="13" t="s">
        <v>39</v>
      </c>
      <c r="E3" s="13" t="s">
        <v>234</v>
      </c>
    </row>
    <row r="4">
      <c r="A4" s="24" t="s">
        <v>235</v>
      </c>
      <c r="B4" s="36" t="s">
        <v>236</v>
      </c>
      <c r="C4" s="24" t="s">
        <v>77</v>
      </c>
      <c r="D4" s="24" t="s">
        <v>102</v>
      </c>
      <c r="E4" s="36" t="s">
        <v>237</v>
      </c>
    </row>
    <row r="5">
      <c r="A5" s="24" t="s">
        <v>238</v>
      </c>
      <c r="B5" s="36" t="s">
        <v>239</v>
      </c>
      <c r="C5" s="24" t="s">
        <v>101</v>
      </c>
      <c r="D5" s="24" t="s">
        <v>102</v>
      </c>
      <c r="E5" s="36" t="s">
        <v>240</v>
      </c>
    </row>
    <row r="6">
      <c r="A6" s="24" t="s">
        <v>241</v>
      </c>
      <c r="B6" s="36" t="s">
        <v>242</v>
      </c>
      <c r="C6" s="24" t="s">
        <v>115</v>
      </c>
      <c r="D6" s="24" t="s">
        <v>102</v>
      </c>
      <c r="E6" s="36" t="s">
        <v>243</v>
      </c>
    </row>
    <row r="7">
      <c r="A7" s="24" t="s">
        <v>244</v>
      </c>
      <c r="B7" s="36" t="s">
        <v>245</v>
      </c>
      <c r="C7" s="24" t="s">
        <v>156</v>
      </c>
      <c r="D7" s="24" t="s">
        <v>49</v>
      </c>
      <c r="E7" s="36" t="s">
        <v>246</v>
      </c>
    </row>
    <row r="8">
      <c r="A8" s="24" t="s">
        <v>247</v>
      </c>
      <c r="B8" s="36" t="s">
        <v>248</v>
      </c>
      <c r="C8" s="24" t="s">
        <v>161</v>
      </c>
      <c r="D8" s="24" t="s">
        <v>249</v>
      </c>
      <c r="E8" s="36" t="s">
        <v>250</v>
      </c>
    </row>
    <row r="9">
      <c r="A9" s="24" t="s">
        <v>251</v>
      </c>
      <c r="B9" s="36" t="s">
        <v>252</v>
      </c>
      <c r="C9" s="24" t="s">
        <v>162</v>
      </c>
      <c r="D9" s="24" t="s">
        <v>249</v>
      </c>
      <c r="E9" s="36" t="s">
        <v>253</v>
      </c>
    </row>
    <row r="10">
      <c r="A10" s="24" t="s">
        <v>254</v>
      </c>
      <c r="B10" s="36" t="s">
        <v>255</v>
      </c>
      <c r="C10" s="24" t="s">
        <v>167</v>
      </c>
      <c r="D10" s="24" t="s">
        <v>249</v>
      </c>
      <c r="E10" s="36" t="s">
        <v>256</v>
      </c>
    </row>
    <row r="11">
      <c r="A11" s="24" t="s">
        <v>257</v>
      </c>
      <c r="B11" s="36" t="s">
        <v>174</v>
      </c>
      <c r="C11" s="24" t="s">
        <v>177</v>
      </c>
      <c r="D11" s="24" t="s">
        <v>249</v>
      </c>
      <c r="E11" s="36" t="s">
        <v>258</v>
      </c>
    </row>
    <row r="12">
      <c r="A12" s="24" t="s">
        <v>259</v>
      </c>
      <c r="B12" s="36" t="s">
        <v>260</v>
      </c>
      <c r="C12" s="24" t="s">
        <v>79</v>
      </c>
      <c r="D12" s="24" t="s">
        <v>249</v>
      </c>
      <c r="E12" s="36" t="s">
        <v>261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conditionalFormatting sqref="D4:D12">
    <cfRule type="cellIs" dxfId="9" priority="1" operator="equal">
      <formula>"Concluído"</formula>
    </cfRule>
  </conditionalFormatting>
  <conditionalFormatting sqref="D4:D12">
    <cfRule type="cellIs" dxfId="10" priority="2" operator="equal">
      <formula>"Em Andamento"</formula>
    </cfRule>
  </conditionalFormatting>
  <conditionalFormatting sqref="D4:D12">
    <cfRule type="cellIs" dxfId="11" priority="3" operator="equal">
      <formula>"Próximo"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3" width="14.0"/>
    <col customWidth="1" min="4" max="4" width="18.0"/>
    <col customWidth="1" min="5" max="5" width="22.0"/>
    <col customWidth="1" min="6" max="26" width="8.71"/>
  </cols>
  <sheetData>
    <row r="1" ht="34.5" customHeight="1">
      <c r="A1" s="1" t="s">
        <v>262</v>
      </c>
      <c r="B1" s="2"/>
      <c r="C1" s="2"/>
      <c r="D1" s="2"/>
      <c r="E1" s="3"/>
    </row>
    <row r="3" ht="27.75" customHeight="1">
      <c r="A3" s="13" t="s">
        <v>263</v>
      </c>
      <c r="B3" s="13" t="s">
        <v>264</v>
      </c>
      <c r="C3" s="13" t="s">
        <v>265</v>
      </c>
      <c r="D3" s="13" t="s">
        <v>266</v>
      </c>
      <c r="E3" s="13" t="s">
        <v>267</v>
      </c>
    </row>
    <row r="4">
      <c r="A4" s="24" t="s">
        <v>268</v>
      </c>
      <c r="B4" s="24">
        <v>3.0</v>
      </c>
      <c r="C4" s="24">
        <v>3.0</v>
      </c>
      <c r="D4" s="26">
        <f t="shared" ref="D4:D11" si="1">IFERROR(C4/B4,0)</f>
        <v>1</v>
      </c>
      <c r="E4" s="24">
        <f>C4</f>
        <v>3</v>
      </c>
    </row>
    <row r="5">
      <c r="A5" s="24" t="s">
        <v>269</v>
      </c>
      <c r="B5" s="24">
        <v>3.0</v>
      </c>
      <c r="C5" s="24">
        <v>3.0</v>
      </c>
      <c r="D5" s="26">
        <f t="shared" si="1"/>
        <v>1</v>
      </c>
      <c r="E5" s="24">
        <f t="shared" ref="E5:E11" si="2">E4+C5</f>
        <v>6</v>
      </c>
    </row>
    <row r="6">
      <c r="A6" s="24" t="s">
        <v>270</v>
      </c>
      <c r="B6" s="24">
        <v>4.0</v>
      </c>
      <c r="C6" s="24">
        <v>4.0</v>
      </c>
      <c r="D6" s="26">
        <f t="shared" si="1"/>
        <v>1</v>
      </c>
      <c r="E6" s="24">
        <f t="shared" si="2"/>
        <v>10</v>
      </c>
    </row>
    <row r="7">
      <c r="A7" s="24" t="s">
        <v>271</v>
      </c>
      <c r="B7" s="24">
        <v>6.0</v>
      </c>
      <c r="C7" s="24">
        <v>5.0</v>
      </c>
      <c r="D7" s="26">
        <f t="shared" si="1"/>
        <v>0.8333333333</v>
      </c>
      <c r="E7" s="24">
        <f t="shared" si="2"/>
        <v>15</v>
      </c>
    </row>
    <row r="8">
      <c r="A8" s="24" t="s">
        <v>272</v>
      </c>
      <c r="B8" s="24">
        <v>4.0</v>
      </c>
      <c r="C8" s="24">
        <v>0.0</v>
      </c>
      <c r="D8" s="26">
        <f t="shared" si="1"/>
        <v>0</v>
      </c>
      <c r="E8" s="24">
        <f t="shared" si="2"/>
        <v>15</v>
      </c>
    </row>
    <row r="9">
      <c r="A9" s="24" t="s">
        <v>273</v>
      </c>
      <c r="B9" s="24">
        <v>2.0</v>
      </c>
      <c r="C9" s="24">
        <v>0.0</v>
      </c>
      <c r="D9" s="26">
        <f t="shared" si="1"/>
        <v>0</v>
      </c>
      <c r="E9" s="24">
        <f t="shared" si="2"/>
        <v>15</v>
      </c>
    </row>
    <row r="10">
      <c r="A10" s="24" t="s">
        <v>274</v>
      </c>
      <c r="B10" s="24">
        <v>1.0</v>
      </c>
      <c r="C10" s="24">
        <v>0.0</v>
      </c>
      <c r="D10" s="26">
        <f t="shared" si="1"/>
        <v>0</v>
      </c>
      <c r="E10" s="24">
        <f t="shared" si="2"/>
        <v>15</v>
      </c>
    </row>
    <row r="11">
      <c r="A11" s="24" t="s">
        <v>275</v>
      </c>
      <c r="B11" s="24">
        <v>1.0</v>
      </c>
      <c r="C11" s="24">
        <v>0.0</v>
      </c>
      <c r="D11" s="26">
        <f t="shared" si="1"/>
        <v>0</v>
      </c>
      <c r="E11" s="24">
        <f t="shared" si="2"/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5" width="22.0"/>
    <col customWidth="1" min="6" max="26" width="8.71"/>
  </cols>
  <sheetData>
    <row r="1" ht="34.5" customHeight="1">
      <c r="A1" s="1" t="s">
        <v>276</v>
      </c>
      <c r="B1" s="2"/>
      <c r="C1" s="2"/>
      <c r="D1" s="2"/>
      <c r="E1" s="3"/>
    </row>
    <row r="3" ht="31.5" customHeight="1">
      <c r="A3" s="13" t="s">
        <v>263</v>
      </c>
      <c r="B3" s="13" t="s">
        <v>277</v>
      </c>
      <c r="C3" s="13" t="s">
        <v>278</v>
      </c>
      <c r="D3" s="13" t="s">
        <v>279</v>
      </c>
      <c r="E3" s="13" t="s">
        <v>280</v>
      </c>
    </row>
    <row r="4">
      <c r="A4" s="24" t="s">
        <v>268</v>
      </c>
      <c r="B4" s="37">
        <v>60000.0</v>
      </c>
      <c r="C4" s="37">
        <v>60000.0</v>
      </c>
      <c r="D4" s="37">
        <v>55000.0</v>
      </c>
      <c r="E4" s="37">
        <f t="shared" ref="E4:E13" si="1">IFERROR(C4-D4,0)</f>
        <v>5000</v>
      </c>
    </row>
    <row r="5">
      <c r="A5" s="24" t="s">
        <v>269</v>
      </c>
      <c r="B5" s="37">
        <v>150000.0</v>
      </c>
      <c r="C5" s="37">
        <v>150000.0</v>
      </c>
      <c r="D5" s="37">
        <v>148000.0</v>
      </c>
      <c r="E5" s="37">
        <f t="shared" si="1"/>
        <v>2000</v>
      </c>
    </row>
    <row r="6">
      <c r="A6" s="24" t="s">
        <v>270</v>
      </c>
      <c r="B6" s="37">
        <v>320000.0</v>
      </c>
      <c r="C6" s="37">
        <v>320000.0</v>
      </c>
      <c r="D6" s="37">
        <v>315000.0</v>
      </c>
      <c r="E6" s="37">
        <f t="shared" si="1"/>
        <v>5000</v>
      </c>
    </row>
    <row r="7">
      <c r="A7" s="24" t="s">
        <v>271</v>
      </c>
      <c r="B7" s="37">
        <v>540000.0</v>
      </c>
      <c r="C7" s="37">
        <v>500000.0</v>
      </c>
      <c r="D7" s="37">
        <v>490000.0</v>
      </c>
      <c r="E7" s="37">
        <f t="shared" si="1"/>
        <v>10000</v>
      </c>
    </row>
    <row r="8">
      <c r="A8" s="24" t="s">
        <v>272</v>
      </c>
      <c r="B8" s="37">
        <v>780000.0</v>
      </c>
      <c r="C8" s="37">
        <v>720000.0</v>
      </c>
      <c r="D8" s="37">
        <v>720000.0</v>
      </c>
      <c r="E8" s="37">
        <f t="shared" si="1"/>
        <v>0</v>
      </c>
    </row>
    <row r="9">
      <c r="A9" s="24" t="s">
        <v>273</v>
      </c>
      <c r="B9" s="37">
        <v>1020000.0</v>
      </c>
      <c r="C9" s="37">
        <v>920000.0</v>
      </c>
      <c r="D9" s="37">
        <v>920000.0</v>
      </c>
      <c r="E9" s="37">
        <f t="shared" si="1"/>
        <v>0</v>
      </c>
    </row>
    <row r="10">
      <c r="A10" s="24" t="s">
        <v>274</v>
      </c>
      <c r="B10" s="37">
        <v>1240000.0</v>
      </c>
      <c r="C10" s="37"/>
      <c r="D10" s="37"/>
      <c r="E10" s="37">
        <f t="shared" si="1"/>
        <v>0</v>
      </c>
    </row>
    <row r="11">
      <c r="A11" s="24" t="s">
        <v>275</v>
      </c>
      <c r="B11" s="37">
        <v>1380000.0</v>
      </c>
      <c r="C11" s="37"/>
      <c r="D11" s="37"/>
      <c r="E11" s="37">
        <f t="shared" si="1"/>
        <v>0</v>
      </c>
    </row>
    <row r="12">
      <c r="A12" s="24" t="s">
        <v>281</v>
      </c>
      <c r="B12" s="37">
        <v>1450000.0</v>
      </c>
      <c r="C12" s="37"/>
      <c r="D12" s="37"/>
      <c r="E12" s="37">
        <f t="shared" si="1"/>
        <v>0</v>
      </c>
    </row>
    <row r="13">
      <c r="A13" s="24" t="s">
        <v>282</v>
      </c>
      <c r="B13" s="37">
        <v>1500000.0</v>
      </c>
      <c r="C13" s="37"/>
      <c r="D13" s="37"/>
      <c r="E13" s="37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conditionalFormatting sqref="E4:E13">
    <cfRule type="colorScale" priority="1">
      <colorScale>
        <cfvo type="min" val="0"/>
        <cfvo type="formula" val="0"/>
        <cfvo type="max" val="0"/>
        <color rgb="FFC00000"/>
        <color rgb="FFFFFFFF"/>
        <color rgb="FF70AD47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50.0"/>
    <col customWidth="1" min="3" max="4" width="18.0"/>
    <col customWidth="1" min="5" max="5" width="14.0"/>
    <col customWidth="1" min="6" max="6" width="18.0"/>
    <col customWidth="1" min="7" max="26" width="8.71"/>
  </cols>
  <sheetData>
    <row r="1" ht="34.5" customHeight="1">
      <c r="A1" s="1" t="s">
        <v>283</v>
      </c>
      <c r="B1" s="2"/>
      <c r="C1" s="2"/>
      <c r="D1" s="2"/>
      <c r="E1" s="2"/>
      <c r="F1" s="3"/>
    </row>
    <row r="3" ht="27.75" customHeight="1">
      <c r="A3" s="13" t="s">
        <v>26</v>
      </c>
      <c r="B3" s="13" t="s">
        <v>30</v>
      </c>
      <c r="C3" s="13" t="s">
        <v>284</v>
      </c>
      <c r="D3" s="13" t="s">
        <v>93</v>
      </c>
      <c r="E3" s="13" t="s">
        <v>38</v>
      </c>
      <c r="F3" s="13" t="s">
        <v>39</v>
      </c>
    </row>
    <row r="4">
      <c r="A4" s="24" t="s">
        <v>285</v>
      </c>
      <c r="B4" s="36" t="s">
        <v>286</v>
      </c>
      <c r="C4" s="24" t="s">
        <v>139</v>
      </c>
      <c r="D4" s="24" t="s">
        <v>134</v>
      </c>
      <c r="E4" s="24" t="s">
        <v>48</v>
      </c>
      <c r="F4" s="24" t="s">
        <v>287</v>
      </c>
    </row>
    <row r="5">
      <c r="A5" s="24" t="s">
        <v>288</v>
      </c>
      <c r="B5" s="36" t="s">
        <v>289</v>
      </c>
      <c r="C5" s="24" t="s">
        <v>130</v>
      </c>
      <c r="D5" s="24" t="s">
        <v>118</v>
      </c>
      <c r="E5" s="24" t="s">
        <v>48</v>
      </c>
      <c r="F5" s="24" t="s">
        <v>287</v>
      </c>
    </row>
    <row r="6">
      <c r="A6" s="24" t="s">
        <v>290</v>
      </c>
      <c r="B6" s="36" t="s">
        <v>291</v>
      </c>
      <c r="C6" s="24" t="s">
        <v>149</v>
      </c>
      <c r="D6" s="24" t="s">
        <v>100</v>
      </c>
      <c r="E6" s="24" t="s">
        <v>52</v>
      </c>
      <c r="F6" s="24" t="s">
        <v>292</v>
      </c>
    </row>
    <row r="7">
      <c r="A7" s="24" t="s">
        <v>293</v>
      </c>
      <c r="B7" s="36" t="s">
        <v>294</v>
      </c>
      <c r="C7" s="24" t="s">
        <v>295</v>
      </c>
      <c r="D7" s="24" t="s">
        <v>170</v>
      </c>
      <c r="E7" s="24" t="s">
        <v>52</v>
      </c>
      <c r="F7" s="24" t="s">
        <v>287</v>
      </c>
    </row>
    <row r="8">
      <c r="A8" s="24" t="s">
        <v>296</v>
      </c>
      <c r="B8" s="36" t="s">
        <v>297</v>
      </c>
      <c r="C8" s="24" t="s">
        <v>135</v>
      </c>
      <c r="D8" s="24" t="s">
        <v>188</v>
      </c>
      <c r="E8" s="24" t="s">
        <v>48</v>
      </c>
      <c r="F8" s="24" t="s">
        <v>292</v>
      </c>
    </row>
    <row r="9">
      <c r="A9" s="24" t="s">
        <v>298</v>
      </c>
      <c r="B9" s="36" t="s">
        <v>299</v>
      </c>
      <c r="C9" s="24" t="s">
        <v>300</v>
      </c>
      <c r="D9" s="24" t="s">
        <v>185</v>
      </c>
      <c r="E9" s="24" t="s">
        <v>55</v>
      </c>
      <c r="F9" s="24" t="s">
        <v>292</v>
      </c>
    </row>
    <row r="10">
      <c r="A10" s="24" t="s">
        <v>301</v>
      </c>
      <c r="B10" s="36" t="s">
        <v>302</v>
      </c>
      <c r="C10" s="24" t="s">
        <v>149</v>
      </c>
      <c r="D10" s="24" t="s">
        <v>194</v>
      </c>
      <c r="E10" s="24" t="s">
        <v>48</v>
      </c>
      <c r="F10" s="24" t="s">
        <v>292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E4:E10">
    <cfRule type="cellIs" dxfId="12" priority="1" operator="equal">
      <formula>"Alta"</formula>
    </cfRule>
  </conditionalFormatting>
  <conditionalFormatting sqref="E4:E10">
    <cfRule type="cellIs" dxfId="10" priority="2" operator="equal">
      <formula>"Média"</formula>
    </cfRule>
  </conditionalFormatting>
  <conditionalFormatting sqref="E4:E10">
    <cfRule type="cellIs" dxfId="9" priority="3" operator="equal">
      <formula>"Baixa"</formula>
    </cfRule>
  </conditionalFormatting>
  <conditionalFormatting sqref="F4:F10">
    <cfRule type="cellIs" dxfId="12" priority="4" operator="equal">
      <formula>"Aberto"</formula>
    </cfRule>
  </conditionalFormatting>
  <conditionalFormatting sqref="F4:F10">
    <cfRule type="cellIs" dxfId="10" priority="5" operator="equal">
      <formula>"Em Tratamento"</formula>
    </cfRule>
  </conditionalFormatting>
  <conditionalFormatting sqref="F4:F10">
    <cfRule type="cellIs" dxfId="9" priority="6" operator="equal">
      <formula>"Resolvido"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5.0"/>
    <col customWidth="1" min="3" max="3" width="95.0"/>
    <col customWidth="1" min="4" max="4" width="2.0"/>
    <col customWidth="1" min="5" max="26" width="8.71"/>
  </cols>
  <sheetData>
    <row r="2" ht="37.5" customHeight="1">
      <c r="B2" s="1" t="s">
        <v>303</v>
      </c>
      <c r="C2" s="3"/>
    </row>
    <row r="4" ht="25.5" customHeight="1">
      <c r="B4" s="38" t="s">
        <v>304</v>
      </c>
      <c r="C4" s="3"/>
    </row>
    <row r="5" ht="48.0" customHeight="1">
      <c r="B5" s="39" t="s">
        <v>305</v>
      </c>
      <c r="C5" s="40" t="s">
        <v>306</v>
      </c>
    </row>
    <row r="6" ht="33.75" customHeight="1">
      <c r="B6" s="39" t="s">
        <v>307</v>
      </c>
      <c r="C6" s="40" t="s">
        <v>308</v>
      </c>
    </row>
    <row r="7" ht="33.75" customHeight="1">
      <c r="B7" s="39" t="s">
        <v>309</v>
      </c>
      <c r="C7" s="40" t="s">
        <v>310</v>
      </c>
    </row>
    <row r="8" ht="33.75" customHeight="1">
      <c r="B8" s="39" t="s">
        <v>311</v>
      </c>
      <c r="C8" s="40" t="s">
        <v>312</v>
      </c>
    </row>
    <row r="9" ht="33.75" customHeight="1">
      <c r="B9" s="39" t="s">
        <v>18</v>
      </c>
      <c r="C9" s="40" t="s">
        <v>313</v>
      </c>
    </row>
    <row r="10" ht="33.75" customHeight="1">
      <c r="B10" s="39" t="s">
        <v>90</v>
      </c>
      <c r="C10" s="40" t="s">
        <v>314</v>
      </c>
    </row>
    <row r="11" ht="33.75" customHeight="1">
      <c r="B11" s="39" t="s">
        <v>315</v>
      </c>
      <c r="C11" s="40" t="s">
        <v>316</v>
      </c>
    </row>
    <row r="12" ht="33.75" customHeight="1">
      <c r="B12" s="39" t="s">
        <v>317</v>
      </c>
      <c r="C12" s="40" t="s">
        <v>318</v>
      </c>
    </row>
    <row r="13" ht="33.75" customHeight="1">
      <c r="B13" s="39" t="s">
        <v>319</v>
      </c>
      <c r="C13" s="40" t="s">
        <v>320</v>
      </c>
    </row>
    <row r="14" ht="33.75" customHeight="1">
      <c r="B14" s="39" t="s">
        <v>321</v>
      </c>
      <c r="C14" s="40" t="s">
        <v>322</v>
      </c>
    </row>
    <row r="15" ht="33.75" customHeight="1">
      <c r="B15" s="39" t="s">
        <v>323</v>
      </c>
      <c r="C15" s="40" t="s">
        <v>324</v>
      </c>
    </row>
    <row r="16" ht="33.75" customHeight="1">
      <c r="B16" s="39" t="s">
        <v>325</v>
      </c>
      <c r="C16" s="40" t="s">
        <v>326</v>
      </c>
    </row>
    <row r="17" ht="33.75" customHeight="1">
      <c r="B17" s="39" t="s">
        <v>327</v>
      </c>
      <c r="C17" s="40" t="s">
        <v>328</v>
      </c>
    </row>
    <row r="18" ht="25.5" customHeight="1">
      <c r="B18" s="41" t="s">
        <v>329</v>
      </c>
      <c r="C18" s="3"/>
    </row>
    <row r="19" ht="33.75" customHeight="1">
      <c r="B19" s="39" t="s">
        <v>330</v>
      </c>
      <c r="C19" s="40" t="s">
        <v>331</v>
      </c>
    </row>
    <row r="20" ht="33.75" customHeight="1">
      <c r="B20" s="39" t="s">
        <v>332</v>
      </c>
      <c r="C20" s="40" t="s">
        <v>333</v>
      </c>
    </row>
    <row r="21" ht="33.75" customHeight="1">
      <c r="B21" s="39" t="s">
        <v>334</v>
      </c>
      <c r="C21" s="40" t="s">
        <v>335</v>
      </c>
    </row>
    <row r="22" ht="48.0" customHeight="1">
      <c r="B22" s="39" t="s">
        <v>336</v>
      </c>
      <c r="C22" s="40" t="s">
        <v>337</v>
      </c>
    </row>
    <row r="23" ht="33.75" customHeight="1">
      <c r="B23" s="39" t="s">
        <v>338</v>
      </c>
      <c r="C23" s="40" t="s">
        <v>339</v>
      </c>
    </row>
    <row r="24" ht="33.75" customHeight="1">
      <c r="B24" s="39" t="s">
        <v>340</v>
      </c>
      <c r="C24" s="40" t="s">
        <v>341</v>
      </c>
    </row>
    <row r="25" ht="25.5" customHeight="1">
      <c r="B25" s="42" t="s">
        <v>342</v>
      </c>
      <c r="C25" s="3"/>
    </row>
    <row r="26" ht="33.75" customHeight="1">
      <c r="B26" s="39" t="s">
        <v>343</v>
      </c>
      <c r="C26" s="40" t="s">
        <v>344</v>
      </c>
    </row>
    <row r="27" ht="33.75" customHeight="1">
      <c r="B27" s="39" t="s">
        <v>345</v>
      </c>
      <c r="C27" s="40" t="s">
        <v>346</v>
      </c>
    </row>
    <row r="28" ht="33.75" customHeight="1">
      <c r="B28" s="39" t="s">
        <v>347</v>
      </c>
      <c r="C28" s="40" t="s">
        <v>348</v>
      </c>
    </row>
    <row r="29" ht="33.75" customHeight="1">
      <c r="B29" s="39" t="s">
        <v>349</v>
      </c>
      <c r="C29" s="40" t="s">
        <v>350</v>
      </c>
    </row>
    <row r="30" ht="33.75" customHeight="1">
      <c r="B30" s="39" t="s">
        <v>351</v>
      </c>
      <c r="C30" s="40" t="s">
        <v>352</v>
      </c>
    </row>
    <row r="31" ht="33.75" customHeight="1">
      <c r="B31" s="39" t="s">
        <v>353</v>
      </c>
      <c r="C31" s="40" t="s">
        <v>354</v>
      </c>
    </row>
    <row r="32" ht="25.5" customHeight="1">
      <c r="B32" s="43" t="s">
        <v>355</v>
      </c>
      <c r="C32" s="3"/>
    </row>
    <row r="33" ht="132.0" customHeight="1">
      <c r="B33" s="39" t="s">
        <v>356</v>
      </c>
      <c r="C33" s="40" t="s">
        <v>357</v>
      </c>
    </row>
    <row r="34" ht="145.5" customHeight="1">
      <c r="B34" s="39" t="s">
        <v>358</v>
      </c>
      <c r="C34" s="40" t="s">
        <v>359</v>
      </c>
    </row>
    <row r="35" ht="159.75" customHeight="1">
      <c r="B35" s="39" t="s">
        <v>360</v>
      </c>
      <c r="C35" s="40" t="s">
        <v>361</v>
      </c>
    </row>
    <row r="36" ht="25.5" customHeight="1">
      <c r="B36" s="44" t="s">
        <v>362</v>
      </c>
      <c r="C36" s="3"/>
    </row>
    <row r="37" ht="33.75" customHeight="1">
      <c r="B37" s="39" t="s">
        <v>363</v>
      </c>
      <c r="C37" s="40" t="s">
        <v>364</v>
      </c>
    </row>
    <row r="38" ht="33.75" customHeight="1">
      <c r="B38" s="39" t="s">
        <v>365</v>
      </c>
      <c r="C38" s="40" t="s">
        <v>366</v>
      </c>
    </row>
    <row r="39" ht="33.75" customHeight="1">
      <c r="B39" s="39" t="s">
        <v>367</v>
      </c>
      <c r="C39" s="40" t="s">
        <v>368</v>
      </c>
    </row>
    <row r="40" ht="33.75" customHeight="1">
      <c r="B40" s="39" t="s">
        <v>369</v>
      </c>
      <c r="C40" s="40" t="s">
        <v>370</v>
      </c>
    </row>
    <row r="41" ht="33.75" customHeight="1">
      <c r="B41" s="39" t="s">
        <v>371</v>
      </c>
      <c r="C41" s="40" t="s">
        <v>372</v>
      </c>
    </row>
    <row r="42" ht="33.75" customHeight="1">
      <c r="B42" s="39" t="s">
        <v>373</v>
      </c>
      <c r="C42" s="40" t="s">
        <v>374</v>
      </c>
    </row>
    <row r="43" ht="33.75" customHeight="1">
      <c r="B43" s="39" t="s">
        <v>375</v>
      </c>
      <c r="C43" s="40" t="s">
        <v>376</v>
      </c>
    </row>
    <row r="44" ht="33.75" customHeight="1">
      <c r="B44" s="39" t="s">
        <v>377</v>
      </c>
      <c r="C44" s="40" t="s">
        <v>378</v>
      </c>
    </row>
    <row r="45" ht="25.5" customHeight="1">
      <c r="B45" s="41" t="s">
        <v>379</v>
      </c>
      <c r="C45" s="3"/>
    </row>
    <row r="46" ht="33.75" customHeight="1">
      <c r="B46" s="39" t="s">
        <v>380</v>
      </c>
      <c r="C46" s="40" t="s">
        <v>381</v>
      </c>
    </row>
    <row r="47" ht="33.75" customHeight="1">
      <c r="B47" s="39" t="s">
        <v>382</v>
      </c>
      <c r="C47" s="40" t="s">
        <v>383</v>
      </c>
    </row>
    <row r="48" ht="33.75" customHeight="1">
      <c r="B48" s="39" t="s">
        <v>384</v>
      </c>
      <c r="C48" s="40" t="s">
        <v>385</v>
      </c>
    </row>
    <row r="49" ht="33.75" customHeight="1">
      <c r="B49" s="39" t="s">
        <v>386</v>
      </c>
      <c r="C49" s="40" t="s">
        <v>387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C2"/>
    <mergeCell ref="B4:C4"/>
    <mergeCell ref="B18:C18"/>
    <mergeCell ref="B25:C25"/>
    <mergeCell ref="B32:C32"/>
    <mergeCell ref="B36:C36"/>
    <mergeCell ref="B45:C45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2026-05-20T23:53:47Z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