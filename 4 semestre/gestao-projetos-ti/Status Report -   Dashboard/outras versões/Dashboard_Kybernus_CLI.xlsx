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Parâmetros" sheetId="2" r:id="rId5"/>
    <sheet state="visible" name="Cronograma" sheetId="3" r:id="rId6"/>
    <sheet state="visible" name="Marcos" sheetId="4" r:id="rId7"/>
    <sheet state="visible" name="Riscos" sheetId="5" r:id="rId8"/>
    <sheet state="visible" name="Recursos e Custos" sheetId="6" r:id="rId9"/>
    <sheet state="visible" name="Partes Interessadas" sheetId="7" r:id="rId10"/>
    <sheet state="visible" name="Dados" sheetId="8" r:id="rId11"/>
  </sheets>
  <definedNames/>
  <calcPr/>
  <extLst>
    <ext uri="GoogleSheetsCustomDataVersion2">
      <go:sheetsCustomData xmlns:go="http://customooxmlschemas.google.com/" r:id="rId12" roundtripDataChecksum="GvokrLxenJ3A+n3KII8UNM9heVgbTU+7ZS1ZKbQATW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7">
      <text>
        <t xml:space="preserve">======
ID#AAAB8WXYi1A
Unknown Author    (2026-05-31 19:09:15)
Padrão = avanço planejado (61%). Edite com o % real concluído.</t>
      </text>
    </comment>
    <comment authorId="0" ref="C22">
      <text>
        <t xml:space="preserve">======
ID#AAAB8WXYi04
Unknown Author    (2026-05-31 19:09:15)
Tarefas futuras ainda não começadas.</t>
      </text>
    </comment>
    <comment authorId="0" ref="C19">
      <text>
        <t xml:space="preserve">======
ID#AAAB8WXYi08
Unknown Author    (2026-05-31 19:09:15)
Tarefas concluídas até a data de status.</t>
      </text>
    </comment>
    <comment authorId="0" ref="C21">
      <text>
        <t xml:space="preserve">======
ID#AAAB8WXYi00
Unknown Author    (2026-05-31 19:09:15)
Tarefas que deveriam estar prontas e não estão.</t>
      </text>
    </comment>
    <comment authorId="0" ref="C18">
      <text>
        <t xml:space="preserve">======
ID#AAAB8WXYi0s
Unknown Author    (2026-05-31 19:09:15)
Quanto já foi efetivamente gasto.</t>
      </text>
    </comment>
    <comment authorId="0" ref="C20">
      <text>
        <t xml:space="preserve">======
ID#AAAB8WXYi0w
Unknown Author    (2026-05-31 19:09:15)
Tarefas com janela aberta na data de status.</t>
      </text>
    </comment>
  </commentList>
  <extLst>
    <ext uri="GoogleSheetsCustomDataVersion2">
      <go:sheetsCustomData xmlns:go="http://customooxmlschemas.google.com/" r:id="rId1" roundtripDataSignature="AMtx7mhxecZlLuSbgPtj/VQpQ5Riib60vQ=="/>
    </ext>
  </extLst>
</comments>
</file>

<file path=xl/sharedStrings.xml><?xml version="1.0" encoding="utf-8"?>
<sst xmlns="http://schemas.openxmlformats.org/spreadsheetml/2006/main" count="814" uniqueCount="423">
  <si>
    <t>DASHBOARD DE GESTÃO DE PROJETO  ·  KYBERNUS CLI</t>
  </si>
  <si>
    <t>VISÃO GERAL</t>
  </si>
  <si>
    <t>STATUS GERAL</t>
  </si>
  <si>
    <t>% DE CONCLUSÃO</t>
  </si>
  <si>
    <t>PRAZO · SPI</t>
  </si>
  <si>
    <t>CUSTO · CPI</t>
  </si>
  <si>
    <t>ORÇAMENTO CONSUMIDO</t>
  </si>
  <si>
    <t>⏱  INDICADORES DE PRAZO E CUSTO (EVM)</t>
  </si>
  <si>
    <t>Indicador</t>
  </si>
  <si>
    <t>Valor</t>
  </si>
  <si>
    <t>Faixa OK</t>
  </si>
  <si>
    <t>●</t>
  </si>
  <si>
    <t>Interpretação</t>
  </si>
  <si>
    <t>📌 SITUAÇÃO DAS ATIVIDADES</t>
  </si>
  <si>
    <t>CPI — Desempenho de Custo</t>
  </si>
  <si>
    <t>≥ 0,95</t>
  </si>
  <si>
    <t>SPI — Desempenho de Prazo</t>
  </si>
  <si>
    <t>Concluídas</t>
  </si>
  <si>
    <t>Em Execução</t>
  </si>
  <si>
    <t>EV — Valor Agregado</t>
  </si>
  <si>
    <t>CV — Variação de Custo (R$)</t>
  </si>
  <si>
    <t>≥ 0</t>
  </si>
  <si>
    <t>Avanço Real vs Planejado</t>
  </si>
  <si>
    <t>—</t>
  </si>
  <si>
    <t>Atrasadas</t>
  </si>
  <si>
    <t>Não Iniciadas</t>
  </si>
  <si>
    <t>PV — Valor Planejado</t>
  </si>
  <si>
    <t>📈  INDICADORES VISUAIS</t>
  </si>
  <si>
    <t>🎯  PRÓXIMOS MARCOS</t>
  </si>
  <si>
    <t>⚠  TOP RISCOS CRÍTICOS</t>
  </si>
  <si>
    <t>Marco</t>
  </si>
  <si>
    <t>Data</t>
  </si>
  <si>
    <t>Situação</t>
  </si>
  <si>
    <t>Risco</t>
  </si>
  <si>
    <t>Sev.</t>
  </si>
  <si>
    <t>Nível</t>
  </si>
  <si>
    <t>Gerenciamento do Projeto</t>
  </si>
  <si>
    <t>11/03/2026</t>
  </si>
  <si>
    <t>Concluído</t>
  </si>
  <si>
    <t>R02 · Mudanças no escopo não controladas</t>
  </si>
  <si>
    <t>🟡</t>
  </si>
  <si>
    <t>Definição e Design</t>
  </si>
  <si>
    <t>01/04/2026</t>
  </si>
  <si>
    <t>R06 · Disponibilidade limitada da equipe impactando o cronograma</t>
  </si>
  <si>
    <t>Implementação das Funcionalidades</t>
  </si>
  <si>
    <t>03/06/2026</t>
  </si>
  <si>
    <t>Previsto</t>
  </si>
  <si>
    <t>R12 · Mudanças estruturais em frameworks suportados quebrando os templates gerados</t>
  </si>
  <si>
    <t>Testes e Documentação</t>
  </si>
  <si>
    <t>17/06/2026</t>
  </si>
  <si>
    <t>R08 · Dependência excessiva de um único integrante em partes críticas do projeto</t>
  </si>
  <si>
    <t>Divulgação e Encerramento</t>
  </si>
  <si>
    <t>01/07/2026</t>
  </si>
  <si>
    <t>R11 · Incompatibilidade entre os módulos durante a integração da ferramenta</t>
  </si>
  <si>
    <t>R13 · Baixa qualidade das saídas geradas pela IA devido a prompts mal calibrados</t>
  </si>
  <si>
    <t>🛡  PLANO DE RESPOSTA AOS RISCOS PRIORITÁRIOS</t>
  </si>
  <si>
    <t>Ação</t>
  </si>
  <si>
    <t>Estratégia</t>
  </si>
  <si>
    <t>Responsável</t>
  </si>
  <si>
    <t>Mitigar</t>
  </si>
  <si>
    <t>Gestão do projeto</t>
  </si>
  <si>
    <t>GP</t>
  </si>
  <si>
    <t>Aceitar</t>
  </si>
  <si>
    <t>Organizacional</t>
  </si>
  <si>
    <t>Técnico</t>
  </si>
  <si>
    <t>Devs</t>
  </si>
  <si>
    <t>⚙  PARÂMETROS DO PROJETO — KYBERNUS CLI</t>
  </si>
  <si>
    <t>💡 Esta aba centraliza as variáveis do projeto.
Os campos de STATUS REAL (em amarelo) são editáveis — ao atualizá-los o Dashboard recalcula sozinho.
Os valores-padrão assumem o projeto "em dia" com o cronograma (avanço 61% na data de status). Substitua pelos números reais do andamento para o semáforo refletir a situação atual.</t>
  </si>
  <si>
    <t>IDENTIFICAÇÃO E BASELINE</t>
  </si>
  <si>
    <t>Nome do Projeto</t>
  </si>
  <si>
    <t>Kybernus CLI</t>
  </si>
  <si>
    <t>Gerente do Projeto (GP)</t>
  </si>
  <si>
    <t>Guilherme Marafon</t>
  </si>
  <si>
    <t>Patrocinadora</t>
  </si>
  <si>
    <t>Prof. Rosilene</t>
  </si>
  <si>
    <t>Data de Início</t>
  </si>
  <si>
    <t>04/03/2026</t>
  </si>
  <si>
    <t>Data de Término Planejada</t>
  </si>
  <si>
    <t>Data de Status (Reporte)</t>
  </si>
  <si>
    <t>31/05/2026</t>
  </si>
  <si>
    <t>Total de Atividades</t>
  </si>
  <si>
    <t>Total de Horas Planejadas (h)</t>
  </si>
  <si>
    <t>Orçamento Aprovado — BAC (R$)</t>
  </si>
  <si>
    <t>Custo Planejado — cronograma (R$)</t>
  </si>
  <si>
    <t>STATUS REAL (EDITÁVEL)</t>
  </si>
  <si>
    <t>Avanço Real do Projeto (%)</t>
  </si>
  <si>
    <t>Custo Real Acumulado — AC (R$)</t>
  </si>
  <si>
    <t>Atividades Concluídas</t>
  </si>
  <si>
    <t>Atividades em Execução</t>
  </si>
  <si>
    <t>Atividades Atrasadas</t>
  </si>
  <si>
    <t>Atividades Não Iniciadas</t>
  </si>
  <si>
    <t>Avanço Planejado (cronograma)</t>
  </si>
  <si>
    <t>📅  CRONOGRAMA COMPLETO — KYBERNUS CLI</t>
  </si>
  <si>
    <t>ID</t>
  </si>
  <si>
    <t>EAP</t>
  </si>
  <si>
    <t>Tarefa</t>
  </si>
  <si>
    <t>Início</t>
  </si>
  <si>
    <t>Término</t>
  </si>
  <si>
    <t>Dur (du)</t>
  </si>
  <si>
    <t>Horas</t>
  </si>
  <si>
    <t>FASE 1 · Gerenciamento do Projeto</t>
  </si>
  <si>
    <t>1.1</t>
  </si>
  <si>
    <t>Elaborar o Termo de Abertura do Projeto (TAP)</t>
  </si>
  <si>
    <t>06/03/2026</t>
  </si>
  <si>
    <t>Apresentar e obter aprovação da patrocinadora</t>
  </si>
  <si>
    <t>09/03/2026</t>
  </si>
  <si>
    <t>Designar formalmente o gerente do projeto</t>
  </si>
  <si>
    <t>PAT</t>
  </si>
  <si>
    <t>1.2</t>
  </si>
  <si>
    <t>Construir a EAP (fases e subentregas)</t>
  </si>
  <si>
    <t>10/03/2026</t>
  </si>
  <si>
    <t>12/03/2026</t>
  </si>
  <si>
    <t>GP+PM</t>
  </si>
  <si>
    <t>Elaborar o Dicionário da EAP</t>
  </si>
  <si>
    <t>13/03/2026</t>
  </si>
  <si>
    <t>Definir e documentar processo de controle de mudanças</t>
  </si>
  <si>
    <t>16/03/2026</t>
  </si>
  <si>
    <t>1.3</t>
  </si>
  <si>
    <t>Identificar e classificar os stakeholders</t>
  </si>
  <si>
    <t>PM</t>
  </si>
  <si>
    <t>Elaborar mapa e registro de stakeholders</t>
  </si>
  <si>
    <t>Definir estratégia de engajamento e plano de comunicação</t>
  </si>
  <si>
    <t>17/03/2026</t>
  </si>
  <si>
    <t>1.4</t>
  </si>
  <si>
    <t>Identificar e descrever os riscos</t>
  </si>
  <si>
    <t>18/03/2026</t>
  </si>
  <si>
    <t>Analisar probabilidade e impacto (matriz P×I)</t>
  </si>
  <si>
    <t>19/03/2026</t>
  </si>
  <si>
    <t>Definir planos de resposta e contingência</t>
  </si>
  <si>
    <t>20/03/2026</t>
  </si>
  <si>
    <t>24/03/2026</t>
  </si>
  <si>
    <t>1.5</t>
  </si>
  <si>
    <t>Realizar reuniões semanais e registrar atas</t>
  </si>
  <si>
    <t>25/03/2026</t>
  </si>
  <si>
    <t>Emitir status reports periódicos</t>
  </si>
  <si>
    <t>Monitorar cronograma, custos e riscos</t>
  </si>
  <si>
    <t>30/06/2026</t>
  </si>
  <si>
    <t>1.6</t>
  </si>
  <si>
    <t>Elaborar relatório final de desempenho</t>
  </si>
  <si>
    <t>25/06/2026</t>
  </si>
  <si>
    <t>26/06/2026</t>
  </si>
  <si>
    <t>Consolidar lições aprendidas com a equipe</t>
  </si>
  <si>
    <t>29/06/2026</t>
  </si>
  <si>
    <t>Obter aceite formal da patrocinadora</t>
  </si>
  <si>
    <t>FASE 2 · Definição e Design</t>
  </si>
  <si>
    <t>2.1</t>
  </si>
  <si>
    <t>Levantar e documentar RFs e RNFs com stakeholders</t>
  </si>
  <si>
    <t>31/03/2026</t>
  </si>
  <si>
    <t>PM+GP</t>
  </si>
  <si>
    <t>Priorizar requisitos com PM (Alta/Média/Baixa)</t>
  </si>
  <si>
    <t>02/04/2026</t>
  </si>
  <si>
    <t>Definir critérios de aceite por requisito</t>
  </si>
  <si>
    <t>03/04/2026</t>
  </si>
  <si>
    <t>06/04/2026</t>
  </si>
  <si>
    <t>2.2</t>
  </si>
  <si>
    <t>Definir arquitetura dos 4 módulos do CLI</t>
  </si>
  <si>
    <t>07/04/2026</t>
  </si>
  <si>
    <t>Dev #1+Dev #2+Dev #3</t>
  </si>
  <si>
    <t>Especificar contratos de interface entre módulos</t>
  </si>
  <si>
    <t>08/04/2026</t>
  </si>
  <si>
    <t>Validar e decidir serviços externos</t>
  </si>
  <si>
    <t>09/04/2026</t>
  </si>
  <si>
    <t>Dev #1+Dev #2+Dev #3+PM</t>
  </si>
  <si>
    <t>2.3</t>
  </si>
  <si>
    <t>Especificar templates por stack (6 linguagens)</t>
  </si>
  <si>
    <t>10/04/2026</t>
  </si>
  <si>
    <t>Dev #1</t>
  </si>
  <si>
    <t>Especificar templates por arquitetura</t>
  </si>
  <si>
    <t>13/04/2026</t>
  </si>
  <si>
    <t>Especificar templates DevOps</t>
  </si>
  <si>
    <t>Dev #2</t>
  </si>
  <si>
    <t>2.4</t>
  </si>
  <si>
    <t>Desenhar fluxo interativo com menus visuais</t>
  </si>
  <si>
    <t>14/04/2026</t>
  </si>
  <si>
    <t>Especificar flags não-interativas</t>
  </si>
  <si>
    <t>15/04/2026</t>
  </si>
  <si>
    <t>Definir formato do painel de next steps</t>
  </si>
  <si>
    <t>Dev #3+PM</t>
  </si>
  <si>
    <t>2.5</t>
  </si>
  <si>
    <t>Revisar escopo técnico com toda a equipe</t>
  </si>
  <si>
    <t>16/04/2026</t>
  </si>
  <si>
    <t>Registrar baseline do escopo e comunicar à equipe</t>
  </si>
  <si>
    <t>17/04/2026</t>
  </si>
  <si>
    <t>FASE 3 · Implementação das Funcionalidades</t>
  </si>
  <si>
    <t>3.1</t>
  </si>
  <si>
    <t>Implementar interface interativa com menus (RF01–RF04)</t>
  </si>
  <si>
    <t>22/04/2026</t>
  </si>
  <si>
    <t>23/04/2026</t>
  </si>
  <si>
    <t>Implementar flags não-interativas e modo CI/CD (RF15)</t>
  </si>
  <si>
    <t>24/04/2026</t>
  </si>
  <si>
    <t>Implementar kybernus doctor — verificação de ambiente</t>
  </si>
  <si>
    <t>25/04/2026</t>
  </si>
  <si>
    <t>3.2</t>
  </si>
  <si>
    <t>Implementar geração de estrutura por stack + arquitetura</t>
  </si>
  <si>
    <t>28/04/2026</t>
  </si>
  <si>
    <t>02/05/2026</t>
  </si>
  <si>
    <t>Implementar templates Node.js+Express e NestJS (RF21)</t>
  </si>
  <si>
    <t>05/05/2026</t>
  </si>
  <si>
    <t>Implementar templates FastAPI e Spring Boot (RF22,RF23)</t>
  </si>
  <si>
    <t>Implementar templates Next.js e n8n</t>
  </si>
  <si>
    <t>06/05/2026</t>
  </si>
  <si>
    <t>Gerar arquivos base: .env, ESLint, Prettier (RF20)</t>
  </si>
  <si>
    <t>3.3</t>
  </si>
  <si>
    <t>Implementar geração de Docker + GH Actions + Terraform</t>
  </si>
  <si>
    <t>07/05/2026</t>
  </si>
  <si>
    <t>12/05/2026</t>
  </si>
  <si>
    <t>Implementar kybernus deploy (Vercel, Railway…) (RF13)</t>
  </si>
  <si>
    <t>13/05/2026</t>
  </si>
  <si>
    <t>Implementar suporte a template customizado via GitHub</t>
  </si>
  <si>
    <t>14/05/2026</t>
  </si>
  <si>
    <t>3.4</t>
  </si>
  <si>
    <t>Implementar kybernus add swagger, redis (RF08,RF09)</t>
  </si>
  <si>
    <t>15/05/2026</t>
  </si>
  <si>
    <t>16/05/2026</t>
  </si>
  <si>
    <t>Implementar kybernus add websocket, husky (RF10,RF11)</t>
  </si>
  <si>
    <t>19/05/2026</t>
  </si>
  <si>
    <t>Implementar kybernus auth — boilerplate JWT (RF12)</t>
  </si>
  <si>
    <t>20/05/2026</t>
  </si>
  <si>
    <t>Garantir compatibilidade com projetos externos (RF07)</t>
  </si>
  <si>
    <t>21/05/2026</t>
  </si>
  <si>
    <t>3.5</t>
  </si>
  <si>
    <t>Integrar API Google Gemini ao módulo (RF06)</t>
  </si>
  <si>
    <t>Dev #3</t>
  </si>
  <si>
    <t>Implementar geração automática de README e guias</t>
  </si>
  <si>
    <t>Implementar tratamento de falha (API indisponível)</t>
  </si>
  <si>
    <t>3.6</t>
  </si>
  <si>
    <t>Implementar coleta anônima via PostHog (RF19)</t>
  </si>
  <si>
    <t>Implementar notificação no 1º uso + opt-out</t>
  </si>
  <si>
    <t>Elaborar e implementar Política de Privacidade (LGPD)</t>
  </si>
  <si>
    <t>22/05/2026</t>
  </si>
  <si>
    <t>27/05/2026</t>
  </si>
  <si>
    <t>Dev #3+GP</t>
  </si>
  <si>
    <t>3.7</t>
  </si>
  <si>
    <t>Publicar ferramenta no npm (RF24)</t>
  </si>
  <si>
    <t>28/05/2026</t>
  </si>
  <si>
    <t>30/05/2026</t>
  </si>
  <si>
    <t>Validar suporte Win/macOS/Linux (RNF01)</t>
  </si>
  <si>
    <t>01/06/2026</t>
  </si>
  <si>
    <t>05/06/2026</t>
  </si>
  <si>
    <t>Configurar CI/CD do próprio projeto Kybernus</t>
  </si>
  <si>
    <t>FASE 4 · Testes e Documentação</t>
  </si>
  <si>
    <t>4.1</t>
  </si>
  <si>
    <t>Escrever testes unitários por módulo (RNF04)</t>
  </si>
  <si>
    <t>08/06/2026</t>
  </si>
  <si>
    <t>Escrever testes de integração entre módulos</t>
  </si>
  <si>
    <t>09/06/2026</t>
  </si>
  <si>
    <t>Validar sintaxe de arquivos gerados</t>
  </si>
  <si>
    <t>4.2</t>
  </si>
  <si>
    <t>Recrutar ≥5 desenvolvedores externos para testes</t>
  </si>
  <si>
    <t>10/06/2026</t>
  </si>
  <si>
    <t>Conduzir sessões de instalação e geração sem auxílio</t>
  </si>
  <si>
    <t>11/06/2026</t>
  </si>
  <si>
    <t>Dev #1+Dev #2+Dev #3+GP</t>
  </si>
  <si>
    <t>Registrar resultados e validar meta de 80% de sucesso</t>
  </si>
  <si>
    <t>12/06/2026</t>
  </si>
  <si>
    <t>4.3</t>
  </si>
  <si>
    <t>Verificar checklist formal dos critérios do TAP</t>
  </si>
  <si>
    <t>15/06/2026</t>
  </si>
  <si>
    <t>Elaborar relatório de validação interna</t>
  </si>
  <si>
    <t>18/06/2026</t>
  </si>
  <si>
    <t>20/06/2026</t>
  </si>
  <si>
    <t>4.4</t>
  </si>
  <si>
    <t>Elaborar README completo do repositório modelo GitHub</t>
  </si>
  <si>
    <t>16/06/2026</t>
  </si>
  <si>
    <t>Elaborar guia de contribuição open-source</t>
  </si>
  <si>
    <t>Documentar módulos internos</t>
  </si>
  <si>
    <t>23/06/2026</t>
  </si>
  <si>
    <t>4.5</t>
  </si>
  <si>
    <t>Escrever guia de instalação e uso</t>
  </si>
  <si>
    <t>Documentar referência de comandos</t>
  </si>
  <si>
    <t>19/06/2026</t>
  </si>
  <si>
    <t>Elaborar FAQ e troubleshooting</t>
  </si>
  <si>
    <t>FASE 5 · Divulgação e Encerramento</t>
  </si>
  <si>
    <t>5.1</t>
  </si>
  <si>
    <t>Desenvolver conteúdo e layout da landing page (RF25)</t>
  </si>
  <si>
    <t>Dev #1+MKT</t>
  </si>
  <si>
    <t>Publicar landing page e validar links</t>
  </si>
  <si>
    <t>24/06/2026</t>
  </si>
  <si>
    <t>5.2</t>
  </si>
  <si>
    <t>Configurar repositório público c/ README e CONTRIBUTING</t>
  </si>
  <si>
    <t>Criar templates de issues e pull requests</t>
  </si>
  <si>
    <t>5.3</t>
  </si>
  <si>
    <t>Definir plano de canais (dev.to, Product Hunt, redes)</t>
  </si>
  <si>
    <t>MKT</t>
  </si>
  <si>
    <t>Produzir conteúdo para divulgação</t>
  </si>
  <si>
    <t>Redigir comunicado oficial de lançamento</t>
  </si>
  <si>
    <t>22/06/2026</t>
  </si>
  <si>
    <t>MKT+GP</t>
  </si>
  <si>
    <t>5.4</t>
  </si>
  <si>
    <t>Executar deploy final e publicar versão npm</t>
  </si>
  <si>
    <t>Executar campanha de divulgação nos canais definidos</t>
  </si>
  <si>
    <t>Ativar monitoramento via PostHog pós-lançamento</t>
  </si>
  <si>
    <t>5.5</t>
  </si>
  <si>
    <t>Coletar feedback e métricas de adoção iniciais</t>
  </si>
  <si>
    <t>Apresentar relatório final à patrocinadora</t>
  </si>
  <si>
    <t>Obter aceite formal e encerrar o projeto</t>
  </si>
  <si>
    <t>🎯  MARCOS DO PROJETO (Plano de Projeto)</t>
  </si>
  <si>
    <t>Data Prevista</t>
  </si>
  <si>
    <t>M0</t>
  </si>
  <si>
    <t>M1</t>
  </si>
  <si>
    <t>M2</t>
  </si>
  <si>
    <t>M3</t>
  </si>
  <si>
    <t>M4</t>
  </si>
  <si>
    <t>⚠  MATRIZ DE RISCOS — KYBERNUS CLI  (Plano de Riscos GP02)</t>
  </si>
  <si>
    <t>Cód.</t>
  </si>
  <si>
    <t>Descrição do Risco</t>
  </si>
  <si>
    <t>Categoria</t>
  </si>
  <si>
    <t>Prob.</t>
  </si>
  <si>
    <t>Imp.</t>
  </si>
  <si>
    <t>Mudanças no escopo não controladas</t>
  </si>
  <si>
    <t>Gerente do Projeto</t>
  </si>
  <si>
    <t>Disponibilidade limitada da equipe impactando o cronograma</t>
  </si>
  <si>
    <t>Mudanças estruturais em frameworks suportados quebrando os templates gerados</t>
  </si>
  <si>
    <t>Desenvolvedores</t>
  </si>
  <si>
    <t>Dependência excessiva de um único integrante em partes críticas do projeto</t>
  </si>
  <si>
    <t>Incompatibilidade entre os módulos durante a integração da ferramenta</t>
  </si>
  <si>
    <t>Baixa qualidade das saídas geradas pela IA devido a prompts mal calibrados</t>
  </si>
  <si>
    <t>Entregas não atenderem aos critérios de aceitação definidos no TAP</t>
  </si>
  <si>
    <t>Saída de um integrante da equipe durante o projeto</t>
  </si>
  <si>
    <t>Falha de segurança na transmissão dos dados de telemetria expondo informações dos usuários</t>
  </si>
  <si>
    <t>Tranferir</t>
  </si>
  <si>
    <t>Estimativas de prazo incorretas na fase de planejamento gerando atrasos no cronograma</t>
  </si>
  <si>
    <t>Falha na comunicação entre os membros da equipe gerando retrabalho</t>
  </si>
  <si>
    <t>Falta de revisão do plano de projeto</t>
  </si>
  <si>
    <t>Falta de alinhamento entre o gerente de projetos e o product manager nas decisões de escopo e prioridade</t>
  </si>
  <si>
    <t>Gerente do Projeto e Product Manager</t>
  </si>
  <si>
    <t>Baixo engajamento ou feedback inadequado da patrocinadora durante o projeto</t>
  </si>
  <si>
    <t>Indisponibilidade da API de IA utilizada para geração de documentação</t>
  </si>
  <si>
    <t>Aquisições</t>
  </si>
  <si>
    <t>Baixa adoção da ferramenta pelo público-alvo após o lançamento</t>
  </si>
  <si>
    <t>Externo</t>
  </si>
  <si>
    <t>Consultor de Marketing</t>
  </si>
  <si>
    <t>Estouro de orçamento sem aprovação prévia da patrocinadora comprometendo a continuidade do projeto</t>
  </si>
  <si>
    <t>Instabilidade dos serviços externos (Supabase, PostHog) impactando o desenvolvimento</t>
  </si>
  <si>
    <t>Alterações na LGPD ou regulamentações de privacidade exigindo ajustes no módulo de telemetria</t>
  </si>
  <si>
    <t>Gerente de Projetos</t>
  </si>
  <si>
    <t>Falha na publicação ou distribuição via npm impedindo o acesso dos usuários</t>
  </si>
  <si>
    <t>👥  ALOCAÇÃO DE RECURSOS (Planejado vs Teto TAP)</t>
  </si>
  <si>
    <t>Integrante</t>
  </si>
  <si>
    <t>Função</t>
  </si>
  <si>
    <t>Limite TAP (h)</t>
  </si>
  <si>
    <t>Planejadas (h)</t>
  </si>
  <si>
    <t>% Util.</t>
  </si>
  <si>
    <t>Saldo (h)</t>
  </si>
  <si>
    <t>Status</t>
  </si>
  <si>
    <t>Giulia Castelucci</t>
  </si>
  <si>
    <t>Product Manager</t>
  </si>
  <si>
    <t>Vinícius Trevisan</t>
  </si>
  <si>
    <t>Desenvolvedor</t>
  </si>
  <si>
    <t>Guilherme Reis</t>
  </si>
  <si>
    <t>Amanda Freire</t>
  </si>
  <si>
    <t>Valentina Lago</t>
  </si>
  <si>
    <t>Marketing</t>
  </si>
  <si>
    <t>💰  ANÁLISE DE CUSTOS (Planejado vs Teto TAP)</t>
  </si>
  <si>
    <t>R$/h</t>
  </si>
  <si>
    <t>Custo Planejado</t>
  </si>
  <si>
    <t>Custo TAP</t>
  </si>
  <si>
    <t>Diferença</t>
  </si>
  <si>
    <t>TOTAL</t>
  </si>
  <si>
    <t>💸  CUSTO POR FASE (baseline — Plano de Custo)</t>
  </si>
  <si>
    <t>Fase</t>
  </si>
  <si>
    <t>Custo (R$)</t>
  </si>
  <si>
    <t>% do Total</t>
  </si>
  <si>
    <t>F1 · Gerenciamento</t>
  </si>
  <si>
    <t>F2 · Definição &amp; Design</t>
  </si>
  <si>
    <t>F3 · Implementação</t>
  </si>
  <si>
    <t>F4 · Testes &amp; Doc.</t>
  </si>
  <si>
    <t>F5 · Divulgação &amp; Encerr.</t>
  </si>
  <si>
    <t>Obs.: infraestrutura (Gemini, PostHog, Supabase, npm, Vercel) em planos gratuitos — R$ 0,00. Custo por fase cobre o esforço técnico; GP é transversal.</t>
  </si>
  <si>
    <t>🤝  PARTES INTERESSADAS — Engajamento (Plano de Expectativas)</t>
  </si>
  <si>
    <t>Parte Interessada</t>
  </si>
  <si>
    <t>Engajamento</t>
  </si>
  <si>
    <t>Impacto</t>
  </si>
  <si>
    <t>Estratégia de Engajamento</t>
  </si>
  <si>
    <t>Patrocinadora (Prof. Rosilene)</t>
  </si>
  <si>
    <t>A → L</t>
  </si>
  <si>
    <t>Alto</t>
  </si>
  <si>
    <t>Reuniões periódicas de prestação de contas com entregas e critérios de aceite claros; envolvê-la nas decisões de escopo.</t>
  </si>
  <si>
    <t>Gerente de Projeto (G. Marafon)</t>
  </si>
  <si>
    <t>L → L</t>
  </si>
  <si>
    <t>Autonomia para decisões operacionais e acesso a informações em tempo real via ClickUp.</t>
  </si>
  <si>
    <t>Product Manager (G. Castelucci)</t>
  </si>
  <si>
    <t>Envolver nas decisões de priorização de requisitos e validação de escopo; reconhecer contribuições.</t>
  </si>
  <si>
    <t>Desenvolvedores (#1,#2,#3)</t>
  </si>
  <si>
    <t>Clareza nas tarefas e autonomia técnica; reconhecer contribuições e evitar sobrecarga além do TAP.</t>
  </si>
  <si>
    <t>Consultor de Marketing (V. Lago)</t>
  </si>
  <si>
    <t>N → A</t>
  </si>
  <si>
    <t>Médio</t>
  </si>
  <si>
    <t>Mostrar impacto estratégico do lançamento; envolver no posicionamento desde a Fase 4.</t>
  </si>
  <si>
    <t>Tech Leads / Arquitetos</t>
  </si>
  <si>
    <t>D → A</t>
  </si>
  <si>
    <t>Compartilhar documentação técnica e padrões (MVC, Clean, Hexagonal); convidar para testes externos.</t>
  </si>
  <si>
    <t>Desenvolvedores (usuários finais)</t>
  </si>
  <si>
    <t>Landing page clara com instruções; garantir meta de 80% de sucesso sem suporte.</t>
  </si>
  <si>
    <t>Comunidade Open-Source</t>
  </si>
  <si>
    <t>Repositório modelo no GitHub (README, CONTRIBUTING, templates); divulgar no dev.to e Product Hunt.</t>
  </si>
  <si>
    <t>Empresas de Tecnologia</t>
  </si>
  <si>
    <t>D → N</t>
  </si>
  <si>
    <t>Baixo</t>
  </si>
  <si>
    <t>Monitorar interesse via telemetria após o lançamento; sem ação direta no ciclo atual.</t>
  </si>
  <si>
    <t>Legenda engajamento: A=Apoiador · N=Neutro · R=Resistente · D=Desinformado · L=Lidera. (atual → desejado)</t>
  </si>
  <si>
    <t>TABELAS DE APOIO AOS GRÁFICOS (não editar)</t>
  </si>
  <si>
    <t>Horas Totais</t>
  </si>
  <si>
    <t>Horas Concluídas</t>
  </si>
  <si>
    <t>% Concl.</t>
  </si>
  <si>
    <t>Mês</t>
  </si>
  <si>
    <t>Acumulado Planejado (h)</t>
  </si>
  <si>
    <t>Acumulado Realizado (h)</t>
  </si>
  <si>
    <t>Mar/26</t>
  </si>
  <si>
    <t>Abr/26</t>
  </si>
  <si>
    <t>Mai/26</t>
  </si>
  <si>
    <t>Jun/26</t>
  </si>
  <si>
    <t>Jul/26</t>
  </si>
  <si>
    <t>Recurso</t>
  </si>
  <si>
    <t>% Utilização</t>
  </si>
  <si>
    <t>Severidade</t>
  </si>
  <si>
    <t>EVM (auto)</t>
  </si>
  <si>
    <t>SPI</t>
  </si>
  <si>
    <t>EV</t>
  </si>
  <si>
    <t>CPI</t>
  </si>
  <si>
    <t>PV</t>
  </si>
  <si>
    <t>CV</t>
  </si>
  <si>
    <t>%ORC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</si>
</sst>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 &quot;#,##0"/>
    <numFmt numFmtId="165" formatCode="&quot;R$ &quot;#,##0;[RED]&quot;(R$ &quot;#,##0\)"/>
    <numFmt numFmtId="166" formatCode="0.0%"/>
    <numFmt numFmtId="167" formatCode="[$$-409]#,##0.00;[RED]\-[$$-409]#,##0.00"/>
  </numFmts>
  <fonts count="50">
    <font>
      <sz val="11.0"/>
      <color theme="1"/>
      <name val="Calibri"/>
      <scheme val="minor"/>
    </font>
    <font>
      <b/>
      <sz val="18.0"/>
      <color rgb="FFFFFFFF"/>
      <name val="Calibri"/>
    </font>
    <font/>
    <font>
      <sz val="10.0"/>
      <color rgb="FFC7D2E5"/>
      <name val="Calibri"/>
    </font>
    <font>
      <b/>
      <sz val="11.0"/>
      <color rgb="FF1F2A44"/>
      <name val="Calibri"/>
    </font>
    <font>
      <sz val="11.0"/>
      <color theme="1"/>
      <name val="Calibri"/>
    </font>
    <font>
      <b/>
      <sz val="9.0"/>
      <color rgb="FF64748B"/>
      <name val="Calibri"/>
    </font>
    <font>
      <b/>
      <sz val="22.0"/>
      <color rgb="FF0F172A"/>
      <name val="Calibri"/>
    </font>
    <font>
      <b/>
      <sz val="22.0"/>
      <color rgb="FF0E7490"/>
      <name val="Calibri"/>
    </font>
    <font>
      <b/>
      <sz val="22.0"/>
      <color rgb="FF2563EB"/>
      <name val="Calibri"/>
    </font>
    <font>
      <b/>
      <sz val="22.0"/>
      <color rgb="FF15803D"/>
      <name val="Calibri"/>
    </font>
    <font>
      <b/>
      <sz val="22.0"/>
      <color rgb="FFB45309"/>
      <name val="Calibri"/>
    </font>
    <font>
      <sz val="8.0"/>
      <color rgb="FF64748B"/>
      <name val="Calibri"/>
    </font>
    <font>
      <b/>
      <sz val="9.0"/>
      <color rgb="FFFFFFFF"/>
      <name val="Calibri"/>
    </font>
    <font>
      <sz val="9.0"/>
      <color rgb="FF0F172A"/>
      <name val="Calibri"/>
    </font>
    <font>
      <b/>
      <sz val="9.0"/>
      <color rgb="FF0F172A"/>
      <name val="Calibri"/>
    </font>
    <font>
      <sz val="9.0"/>
      <color rgb="FF64748B"/>
      <name val="Calibri"/>
    </font>
    <font>
      <sz val="11.0"/>
      <color rgb="FF15803D"/>
      <name val="Calibri"/>
    </font>
    <font>
      <sz val="9.0"/>
      <color rgb="FF334155"/>
      <name val="Calibri"/>
    </font>
    <font>
      <b/>
      <sz val="18.0"/>
      <color rgb="FF15803D"/>
      <name val="Calibri"/>
    </font>
    <font>
      <b/>
      <sz val="18.0"/>
      <color rgb="FF2563EB"/>
      <name val="Calibri"/>
    </font>
    <font>
      <b/>
      <sz val="18.0"/>
      <color rgb="FFB45309"/>
      <name val="Calibri"/>
    </font>
    <font>
      <b/>
      <sz val="8.0"/>
      <color rgb="FF15803D"/>
      <name val="Calibri"/>
    </font>
    <font>
      <b/>
      <sz val="8.0"/>
      <color rgb="FF2563EB"/>
      <name val="Calibri"/>
    </font>
    <font>
      <b/>
      <sz val="8.0"/>
      <color rgb="FFB45309"/>
      <name val="Calibri"/>
    </font>
    <font>
      <b/>
      <sz val="18.0"/>
      <color rgb="FFB91C1C"/>
      <name val="Calibri"/>
    </font>
    <font>
      <b/>
      <sz val="18.0"/>
      <color rgb="FF64748B"/>
      <name val="Calibri"/>
    </font>
    <font>
      <b/>
      <sz val="18.0"/>
      <color rgb="FF334155"/>
      <name val="Calibri"/>
    </font>
    <font>
      <sz val="11.0"/>
      <color rgb="FF2563EB"/>
      <name val="Calibri"/>
    </font>
    <font>
      <b/>
      <sz val="8.0"/>
      <color rgb="FFB91C1C"/>
      <name val="Calibri"/>
    </font>
    <font>
      <b/>
      <sz val="8.0"/>
      <color rgb="FF64748B"/>
      <name val="Calibri"/>
    </font>
    <font>
      <b/>
      <sz val="8.0"/>
      <color rgb="FF334155"/>
      <name val="Calibri"/>
    </font>
    <font>
      <b/>
      <sz val="9.0"/>
      <color rgb="FF15803D"/>
      <name val="Calibri"/>
    </font>
    <font>
      <sz val="8.0"/>
      <color rgb="FF0F172A"/>
      <name val="Calibri"/>
    </font>
    <font>
      <b/>
      <sz val="9.0"/>
      <color rgb="FFB45309"/>
      <name val="Calibri"/>
    </font>
    <font>
      <b/>
      <sz val="9.0"/>
      <color rgb="FFB91C1C"/>
      <name val="Calibri"/>
    </font>
    <font>
      <sz val="8.0"/>
      <color rgb="FF334155"/>
      <name val="Calibri"/>
    </font>
    <font>
      <i/>
      <sz val="8.0"/>
      <color rgb="FF64748B"/>
      <name val="Calibri"/>
    </font>
    <font>
      <b/>
      <sz val="13.0"/>
      <color rgb="FFFFFFFF"/>
      <name val="Calibri"/>
    </font>
    <font>
      <b/>
      <sz val="10.0"/>
      <color rgb="FF0E7490"/>
      <name val="Calibri"/>
    </font>
    <font>
      <sz val="10.0"/>
      <color rgb="FF334155"/>
      <name val="Calibri"/>
    </font>
    <font>
      <b/>
      <sz val="10.0"/>
      <color rgb="FF0F172A"/>
      <name val="Calibri"/>
    </font>
    <font>
      <b/>
      <sz val="10.0"/>
      <color rgb="FFB45309"/>
      <name val="Calibri"/>
    </font>
    <font>
      <b/>
      <sz val="10.0"/>
      <color rgb="FF1D4ED8"/>
      <name val="Calibri"/>
    </font>
    <font>
      <b/>
      <sz val="11.0"/>
      <color rgb="FF0F172A"/>
      <name val="Calibri"/>
    </font>
    <font>
      <b/>
      <sz val="10.0"/>
      <color rgb="FFFFFFFF"/>
      <name val="Calibri"/>
    </font>
    <font>
      <sz val="10.0"/>
      <color rgb="FF0F172A"/>
      <name val="Calibri"/>
    </font>
    <font>
      <b/>
      <sz val="10.0"/>
      <color rgb="FF15803D"/>
      <name val="Calibri"/>
    </font>
    <font>
      <b/>
      <sz val="11.0"/>
      <color rgb="FFFFFFFF"/>
      <name val="Calibri"/>
    </font>
    <font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64748B"/>
        <bgColor rgb="FF64748B"/>
      </patternFill>
    </fill>
    <fill>
      <patternFill patternType="solid">
        <fgColor rgb="FF0E7490"/>
        <bgColor rgb="FF0E7490"/>
      </patternFill>
    </fill>
    <fill>
      <patternFill patternType="solid">
        <fgColor rgb="FF2563EB"/>
        <bgColor rgb="FF2563EB"/>
      </patternFill>
    </fill>
    <fill>
      <patternFill patternType="solid">
        <fgColor rgb="FF15803D"/>
        <bgColor rgb="FF15803D"/>
      </patternFill>
    </fill>
    <fill>
      <patternFill patternType="solid">
        <fgColor rgb="FFB45309"/>
        <bgColor rgb="FFB45309"/>
      </patternFill>
    </fill>
    <fill>
      <patternFill patternType="solid">
        <fgColor rgb="FFFFFFFF"/>
        <bgColor rgb="FFFFFFFF"/>
      </patternFill>
    </fill>
    <fill>
      <patternFill patternType="solid">
        <fgColor rgb="FF2B3B5E"/>
        <bgColor rgb="FF2B3B5E"/>
      </patternFill>
    </fill>
    <fill>
      <patternFill patternType="solid">
        <fgColor rgb="FFDCFCE7"/>
        <bgColor rgb="FFDCFCE7"/>
      </patternFill>
    </fill>
    <fill>
      <patternFill patternType="solid">
        <fgColor rgb="FFEFF6FF"/>
        <bgColor rgb="FFEFF6FF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1F5F9"/>
        <bgColor rgb="FFF1F5F9"/>
      </patternFill>
    </fill>
    <fill>
      <patternFill patternType="solid">
        <fgColor rgb="FFFFFBEB"/>
        <bgColor rgb="FFFFFBEB"/>
      </patternFill>
    </fill>
  </fills>
  <borders count="34">
    <border/>
    <border>
      <left/>
      <top/>
      <bottom/>
    </border>
    <border>
      <top/>
      <bottom/>
    </border>
    <border>
      <right/>
      <top/>
      <bottom/>
    </border>
    <border>
      <left/>
      <right/>
      <top style="medium">
        <color rgb="FF64748B"/>
      </top>
      <bottom/>
    </border>
    <border>
      <left/>
      <right/>
      <top style="medium">
        <color rgb="FF0E7490"/>
      </top>
      <bottom/>
    </border>
    <border>
      <left/>
      <right/>
      <top style="medium">
        <color rgb="FF2563EB"/>
      </top>
      <bottom/>
    </border>
    <border>
      <left/>
      <right/>
      <top style="medium">
        <color rgb="FF15803D"/>
      </top>
      <bottom/>
    </border>
    <border>
      <left/>
      <right/>
      <top style="medium">
        <color rgb="FFB45309"/>
      </top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 style="thin">
        <color rgb="FFE2E8F0"/>
      </bottom>
    </border>
    <border>
      <top/>
      <bottom style="thin">
        <color rgb="FFE2E8F0"/>
      </bottom>
    </border>
    <border>
      <right/>
      <top/>
      <bottom style="thin">
        <color rgb="FFE2E8F0"/>
      </bottom>
    </border>
    <border>
      <left style="thin">
        <color rgb="FF2B3B5E"/>
      </left>
      <top style="thin">
        <color rgb="FF2B3B5E"/>
      </top>
      <bottom style="thin">
        <color rgb="FF2B3B5E"/>
      </bottom>
    </border>
    <border>
      <top style="thin">
        <color rgb="FF2B3B5E"/>
      </top>
      <bottom style="thin">
        <color rgb="FF2B3B5E"/>
      </bottom>
    </border>
    <border>
      <right style="thin">
        <color rgb="FF2B3B5E"/>
      </right>
      <top style="thin">
        <color rgb="FF2B3B5E"/>
      </top>
      <bottom style="thin">
        <color rgb="FF2B3B5E"/>
      </bottom>
    </border>
    <border>
      <left style="thin">
        <color rgb="FF2B3B5E"/>
      </left>
      <right style="thin">
        <color rgb="FF2B3B5E"/>
      </right>
      <top style="thin">
        <color rgb="FF2B3B5E"/>
      </top>
      <bottom style="thin">
        <color rgb="FF2B3B5E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/>
    </border>
    <border>
      <right style="thin">
        <color rgb="FFE2E8F0"/>
      </right>
      <top style="thin">
        <color rgb="FFE2E8F0"/>
      </top>
      <bottom/>
    </border>
    <border>
      <left style="thin">
        <color rgb="FFE2E8F0"/>
      </left>
      <top/>
      <bottom style="thin">
        <color rgb="FFE2E8F0"/>
      </bottom>
    </border>
    <border>
      <right style="thin">
        <color rgb="FFE2E8F0"/>
      </right>
      <top/>
      <bottom style="thin">
        <color rgb="FFE2E8F0"/>
      </bottom>
    </border>
    <border>
      <left/>
    </border>
    <border>
      <right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shrinkToFit="0" vertical="bottom" wrapText="0"/>
    </xf>
    <xf borderId="5" fillId="4" fontId="5" numFmtId="0" xfId="0" applyAlignment="1" applyBorder="1" applyFill="1" applyFont="1">
      <alignment shrinkToFit="0" vertical="bottom" wrapText="0"/>
    </xf>
    <xf borderId="6" fillId="5" fontId="5" numFmtId="0" xfId="0" applyAlignment="1" applyBorder="1" applyFill="1" applyFont="1">
      <alignment shrinkToFit="0" vertical="bottom" wrapText="0"/>
    </xf>
    <xf borderId="7" fillId="6" fontId="5" numFmtId="0" xfId="0" applyAlignment="1" applyBorder="1" applyFill="1" applyFont="1">
      <alignment shrinkToFit="0" vertical="bottom" wrapText="0"/>
    </xf>
    <xf borderId="8" fillId="7" fontId="5" numFmtId="0" xfId="0" applyAlignment="1" applyBorder="1" applyFill="1" applyFont="1">
      <alignment shrinkToFit="0" vertical="bottom" wrapText="0"/>
    </xf>
    <xf borderId="1" fillId="8" fontId="6" numFmtId="0" xfId="0" applyAlignment="1" applyBorder="1" applyFill="1" applyFont="1">
      <alignment horizontal="left" shrinkToFit="0" vertical="center" wrapText="0"/>
    </xf>
    <xf borderId="9" fillId="8" fontId="7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11" fillId="0" fontId="2" numFmtId="0" xfId="0" applyBorder="1" applyFont="1"/>
    <xf borderId="9" fillId="8" fontId="8" numFmtId="9" xfId="0" applyAlignment="1" applyBorder="1" applyFont="1" applyNumberFormat="1">
      <alignment horizontal="center" shrinkToFit="0" vertical="center" wrapText="0"/>
    </xf>
    <xf borderId="9" fillId="8" fontId="9" numFmtId="2" xfId="0" applyAlignment="1" applyBorder="1" applyFont="1" applyNumberFormat="1">
      <alignment horizontal="center" shrinkToFit="0" vertical="center" wrapText="0"/>
    </xf>
    <xf borderId="9" fillId="8" fontId="10" numFmtId="2" xfId="0" applyAlignment="1" applyBorder="1" applyFont="1" applyNumberFormat="1">
      <alignment horizontal="center" shrinkToFit="0" vertical="center" wrapText="0"/>
    </xf>
    <xf borderId="9" fillId="8" fontId="11" numFmtId="9" xfId="0" applyAlignment="1" applyBorder="1" applyFont="1" applyNumberFormat="1">
      <alignment horizontal="center" shrinkToFit="0" vertical="center" wrapText="0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8" fontId="12" numFmtId="0" xfId="0" applyAlignment="1" applyBorder="1" applyFont="1">
      <alignment horizontal="center" shrinkToFit="0" vertical="center" wrapText="0"/>
    </xf>
    <xf borderId="16" fillId="0" fontId="2" numFmtId="0" xfId="0" applyBorder="1" applyFont="1"/>
    <xf borderId="17" fillId="0" fontId="2" numFmtId="0" xfId="0" applyBorder="1" applyFont="1"/>
    <xf borderId="18" fillId="9" fontId="13" numFmtId="0" xfId="0" applyAlignment="1" applyBorder="1" applyFill="1" applyFont="1">
      <alignment horizontal="center" shrinkToFit="0" vertical="center" wrapText="0"/>
    </xf>
    <xf borderId="19" fillId="0" fontId="2" numFmtId="0" xfId="0" applyBorder="1" applyFont="1"/>
    <xf borderId="20" fillId="0" fontId="2" numFmtId="0" xfId="0" applyBorder="1" applyFont="1"/>
    <xf borderId="21" fillId="9" fontId="13" numFmtId="0" xfId="0" applyAlignment="1" applyBorder="1" applyFont="1">
      <alignment horizontal="center" shrinkToFit="0" vertical="center" wrapText="0"/>
    </xf>
    <xf borderId="22" fillId="0" fontId="14" numFmtId="0" xfId="0" applyAlignment="1" applyBorder="1" applyFont="1">
      <alignment horizontal="left" shrinkToFit="0" vertical="center" wrapText="0"/>
    </xf>
    <xf borderId="23" fillId="0" fontId="2" numFmtId="0" xfId="0" applyBorder="1" applyFont="1"/>
    <xf borderId="24" fillId="0" fontId="2" numFmtId="0" xfId="0" applyBorder="1" applyFont="1"/>
    <xf borderId="25" fillId="0" fontId="15" numFmtId="2" xfId="0" applyAlignment="1" applyBorder="1" applyFont="1" applyNumberFormat="1">
      <alignment horizontal="center" shrinkToFit="0" vertical="center" wrapText="0"/>
    </xf>
    <xf borderId="25" fillId="0" fontId="16" numFmtId="0" xfId="0" applyAlignment="1" applyBorder="1" applyFont="1">
      <alignment horizontal="center" shrinkToFit="0" vertical="center" wrapText="0"/>
    </xf>
    <xf borderId="25" fillId="0" fontId="17" numFmtId="0" xfId="0" applyAlignment="1" applyBorder="1" applyFont="1">
      <alignment horizontal="center" shrinkToFit="0" vertical="center" wrapText="0"/>
    </xf>
    <xf borderId="22" fillId="0" fontId="18" numFmtId="0" xfId="0" applyAlignment="1" applyBorder="1" applyFont="1">
      <alignment horizontal="left" shrinkToFit="0" vertical="center" wrapText="0"/>
    </xf>
    <xf borderId="26" fillId="10" fontId="19" numFmtId="1" xfId="0" applyAlignment="1" applyBorder="1" applyFill="1" applyFont="1" applyNumberFormat="1">
      <alignment horizontal="center" shrinkToFit="0" vertical="center" wrapText="0"/>
    </xf>
    <xf borderId="27" fillId="0" fontId="2" numFmtId="0" xfId="0" applyBorder="1" applyFont="1"/>
    <xf borderId="26" fillId="11" fontId="20" numFmtId="1" xfId="0" applyAlignment="1" applyBorder="1" applyFill="1" applyFont="1" applyNumberFormat="1">
      <alignment horizontal="center" shrinkToFit="0" vertical="center" wrapText="0"/>
    </xf>
    <xf borderId="26" fillId="12" fontId="21" numFmtId="164" xfId="0" applyAlignment="1" applyBorder="1" applyFill="1" applyFont="1" applyNumberFormat="1">
      <alignment horizontal="center" shrinkToFit="0" vertical="center" wrapText="0"/>
    </xf>
    <xf borderId="28" fillId="10" fontId="22" numFmtId="0" xfId="0" applyAlignment="1" applyBorder="1" applyFont="1">
      <alignment horizontal="center" shrinkToFit="0" vertical="top" wrapText="0"/>
    </xf>
    <xf borderId="29" fillId="0" fontId="2" numFmtId="0" xfId="0" applyBorder="1" applyFont="1"/>
    <xf borderId="28" fillId="11" fontId="23" numFmtId="0" xfId="0" applyAlignment="1" applyBorder="1" applyFont="1">
      <alignment horizontal="center" shrinkToFit="0" vertical="top" wrapText="0"/>
    </xf>
    <xf borderId="28" fillId="12" fontId="24" numFmtId="0" xfId="0" applyAlignment="1" applyBorder="1" applyFont="1">
      <alignment horizontal="center" shrinkToFit="0" vertical="top" wrapText="0"/>
    </xf>
    <xf borderId="25" fillId="0" fontId="15" numFmtId="165" xfId="0" applyAlignment="1" applyBorder="1" applyFont="1" applyNumberFormat="1">
      <alignment horizontal="center" shrinkToFit="0" vertical="center" wrapText="0"/>
    </xf>
    <xf borderId="26" fillId="13" fontId="25" numFmtId="1" xfId="0" applyAlignment="1" applyBorder="1" applyFill="1" applyFont="1" applyNumberFormat="1">
      <alignment horizontal="center" shrinkToFit="0" vertical="center" wrapText="0"/>
    </xf>
    <xf borderId="26" fillId="14" fontId="26" numFmtId="1" xfId="0" applyAlignment="1" applyBorder="1" applyFill="1" applyFont="1" applyNumberFormat="1">
      <alignment horizontal="center" shrinkToFit="0" vertical="center" wrapText="0"/>
    </xf>
    <xf borderId="26" fillId="14" fontId="27" numFmtId="164" xfId="0" applyAlignment="1" applyBorder="1" applyFont="1" applyNumberFormat="1">
      <alignment horizontal="center" shrinkToFit="0" vertical="center" wrapText="0"/>
    </xf>
    <xf borderId="25" fillId="0" fontId="15" numFmtId="9" xfId="0" applyAlignment="1" applyBorder="1" applyFont="1" applyNumberFormat="1">
      <alignment horizontal="center" shrinkToFit="0" vertical="center" wrapText="0"/>
    </xf>
    <xf borderId="25" fillId="0" fontId="28" numFmtId="0" xfId="0" applyAlignment="1" applyBorder="1" applyFont="1">
      <alignment horizontal="center" shrinkToFit="0" vertical="center" wrapText="0"/>
    </xf>
    <xf borderId="28" fillId="13" fontId="29" numFmtId="0" xfId="0" applyAlignment="1" applyBorder="1" applyFont="1">
      <alignment horizontal="center" shrinkToFit="0" vertical="top" wrapText="0"/>
    </xf>
    <xf borderId="28" fillId="14" fontId="30" numFmtId="0" xfId="0" applyAlignment="1" applyBorder="1" applyFont="1">
      <alignment horizontal="center" shrinkToFit="0" vertical="top" wrapText="0"/>
    </xf>
    <xf borderId="28" fillId="14" fontId="31" numFmtId="0" xfId="0" applyAlignment="1" applyBorder="1" applyFont="1">
      <alignment horizontal="center" shrinkToFit="0" vertical="top" wrapText="0"/>
    </xf>
    <xf borderId="22" fillId="0" fontId="18" numFmtId="0" xfId="0" applyAlignment="1" applyBorder="1" applyFont="1">
      <alignment horizontal="center" shrinkToFit="0" vertical="center" wrapText="0"/>
    </xf>
    <xf borderId="22" fillId="0" fontId="32" numFmtId="0" xfId="0" applyAlignment="1" applyBorder="1" applyFont="1">
      <alignment horizontal="center" shrinkToFit="0" vertical="center" wrapText="0"/>
    </xf>
    <xf borderId="22" fillId="0" fontId="33" numFmtId="0" xfId="0" applyAlignment="1" applyBorder="1" applyFont="1">
      <alignment horizontal="left" shrinkToFit="0" vertical="center" wrapText="0"/>
    </xf>
    <xf borderId="25" fillId="0" fontId="15" numFmtId="0" xfId="0" applyAlignment="1" applyBorder="1" applyFont="1">
      <alignment horizontal="center" shrinkToFit="0" vertical="center" wrapText="0"/>
    </xf>
    <xf borderId="25" fillId="0" fontId="5" numFmtId="0" xfId="0" applyAlignment="1" applyBorder="1" applyFont="1">
      <alignment horizontal="center" shrinkToFit="0" vertical="center" wrapText="0"/>
    </xf>
    <xf borderId="22" fillId="0" fontId="34" numFmtId="0" xfId="0" applyAlignment="1" applyBorder="1" applyFont="1">
      <alignment horizontal="center" shrinkToFit="0" vertical="center" wrapText="0"/>
    </xf>
    <xf borderId="22" fillId="0" fontId="35" numFmtId="0" xfId="0" applyAlignment="1" applyBorder="1" applyFont="1">
      <alignment horizontal="center" shrinkToFit="0" vertical="center" wrapText="0"/>
    </xf>
    <xf borderId="22" fillId="0" fontId="36" numFmtId="0" xfId="0" applyAlignment="1" applyBorder="1" applyFont="1">
      <alignment horizontal="center" shrinkToFit="0" vertical="center" wrapText="0"/>
    </xf>
    <xf borderId="25" fillId="0" fontId="36" numFmtId="0" xfId="0" applyAlignment="1" applyBorder="1" applyFont="1">
      <alignment horizontal="center" shrinkToFit="0" vertical="center" wrapText="0"/>
    </xf>
    <xf borderId="9" fillId="14" fontId="37" numFmtId="0" xfId="0" applyAlignment="1" applyBorder="1" applyFont="1">
      <alignment horizontal="left" shrinkToFit="0" vertical="top" wrapText="1"/>
    </xf>
    <xf borderId="30" fillId="0" fontId="2" numFmtId="0" xfId="0" applyBorder="1" applyFont="1"/>
    <xf borderId="31" fillId="0" fontId="2" numFmtId="0" xfId="0" applyBorder="1" applyFont="1"/>
    <xf borderId="1" fillId="2" fontId="38" numFmtId="0" xfId="0" applyAlignment="1" applyBorder="1" applyFont="1">
      <alignment horizontal="left" shrinkToFit="0" vertical="center" wrapText="0"/>
    </xf>
    <xf borderId="0" fillId="0" fontId="16" numFmtId="0" xfId="0" applyAlignment="1" applyFont="1">
      <alignment horizontal="left" shrinkToFit="0" vertical="top" wrapText="1"/>
    </xf>
    <xf borderId="0" fillId="0" fontId="39" numFmtId="0" xfId="0" applyAlignment="1" applyFont="1">
      <alignment shrinkToFit="0" vertical="bottom" wrapText="0"/>
    </xf>
    <xf borderId="25" fillId="14" fontId="40" numFmtId="0" xfId="0" applyAlignment="1" applyBorder="1" applyFont="1">
      <alignment horizontal="left" shrinkToFit="0" vertical="center" wrapText="0"/>
    </xf>
    <xf borderId="25" fillId="0" fontId="41" numFmtId="0" xfId="0" applyAlignment="1" applyBorder="1" applyFont="1">
      <alignment horizontal="center" shrinkToFit="0" vertical="center" wrapText="0"/>
    </xf>
    <xf borderId="25" fillId="0" fontId="41" numFmtId="164" xfId="0" applyAlignment="1" applyBorder="1" applyFont="1" applyNumberFormat="1">
      <alignment horizontal="center" shrinkToFit="0" vertical="center" wrapText="0"/>
    </xf>
    <xf borderId="0" fillId="0" fontId="42" numFmtId="0" xfId="0" applyAlignment="1" applyFont="1">
      <alignment shrinkToFit="0" vertical="bottom" wrapText="0"/>
    </xf>
    <xf borderId="32" fillId="15" fontId="43" numFmtId="9" xfId="0" applyAlignment="1" applyBorder="1" applyFill="1" applyFont="1" applyNumberFormat="1">
      <alignment horizontal="center" shrinkToFit="0" vertical="center" wrapText="0"/>
    </xf>
    <xf borderId="32" fillId="15" fontId="43" numFmtId="164" xfId="0" applyAlignment="1" applyBorder="1" applyFont="1" applyNumberFormat="1">
      <alignment horizontal="center" shrinkToFit="0" vertical="center" wrapText="0"/>
    </xf>
    <xf borderId="32" fillId="15" fontId="43" numFmtId="1" xfId="0" applyAlignment="1" applyBorder="1" applyFont="1" applyNumberFormat="1">
      <alignment horizontal="center" shrinkToFit="0" vertical="center" wrapText="0"/>
    </xf>
    <xf borderId="25" fillId="0" fontId="44" numFmtId="9" xfId="0" applyAlignment="1" applyBorder="1" applyFont="1" applyNumberFormat="1">
      <alignment horizontal="center" shrinkToFit="0" vertical="center" wrapText="0"/>
    </xf>
    <xf borderId="25" fillId="9" fontId="45" numFmtId="0" xfId="0" applyAlignment="1" applyBorder="1" applyFont="1">
      <alignment horizontal="center" shrinkToFit="0" vertical="center" wrapText="0"/>
    </xf>
    <xf borderId="1" fillId="4" fontId="45" numFmtId="0" xfId="0" applyAlignment="1" applyBorder="1" applyFont="1">
      <alignment horizontal="left" shrinkToFit="0" vertical="center" wrapText="0"/>
    </xf>
    <xf borderId="25" fillId="10" fontId="14" numFmtId="0" xfId="0" applyAlignment="1" applyBorder="1" applyFont="1">
      <alignment horizontal="center" shrinkToFit="0" vertical="center" wrapText="0"/>
    </xf>
    <xf borderId="25" fillId="14" fontId="14" numFmtId="0" xfId="0" applyAlignment="1" applyBorder="1" applyFont="1">
      <alignment horizontal="center" shrinkToFit="0" vertical="center" wrapText="0"/>
    </xf>
    <xf borderId="25" fillId="14" fontId="14" numFmtId="0" xfId="0" applyAlignment="1" applyBorder="1" applyFont="1">
      <alignment horizontal="left" shrinkToFit="0" vertical="center" wrapText="0"/>
    </xf>
    <xf borderId="25" fillId="0" fontId="14" numFmtId="0" xfId="0" applyAlignment="1" applyBorder="1" applyFont="1">
      <alignment horizontal="center" shrinkToFit="0" vertical="center" wrapText="0"/>
    </xf>
    <xf borderId="25" fillId="0" fontId="14" numFmtId="0" xfId="0" applyAlignment="1" applyBorder="1" applyFont="1">
      <alignment horizontal="left" shrinkToFit="0" vertical="center" wrapText="0"/>
    </xf>
    <xf borderId="25" fillId="8" fontId="14" numFmtId="0" xfId="0" applyAlignment="1" applyBorder="1" applyFont="1">
      <alignment horizontal="center" shrinkToFit="0" vertical="center" wrapText="0"/>
    </xf>
    <xf borderId="25" fillId="0" fontId="46" numFmtId="0" xfId="0" applyAlignment="1" applyBorder="1" applyFont="1">
      <alignment horizontal="center" shrinkToFit="0" vertical="center" wrapText="0"/>
    </xf>
    <xf borderId="25" fillId="0" fontId="46" numFmtId="0" xfId="0" applyAlignment="1" applyBorder="1" applyFont="1">
      <alignment horizontal="left" shrinkToFit="0" vertical="center" wrapText="0"/>
    </xf>
    <xf borderId="25" fillId="10" fontId="47" numFmtId="0" xfId="0" applyAlignment="1" applyBorder="1" applyFont="1">
      <alignment horizontal="center" shrinkToFit="0" vertical="center" wrapText="0"/>
    </xf>
    <xf borderId="25" fillId="12" fontId="42" numFmtId="0" xfId="0" applyAlignment="1" applyBorder="1" applyFont="1">
      <alignment horizontal="center" shrinkToFit="0" vertical="center" wrapText="0"/>
    </xf>
    <xf borderId="25" fillId="9" fontId="13" numFmtId="0" xfId="0" applyAlignment="1" applyBorder="1" applyFont="1">
      <alignment horizontal="center" shrinkToFit="0" vertical="center" wrapText="0"/>
    </xf>
    <xf borderId="25" fillId="0" fontId="14" numFmtId="0" xfId="0" applyAlignment="1" applyBorder="1" applyFont="1">
      <alignment horizontal="left" shrinkToFit="0" vertical="center" wrapText="1"/>
    </xf>
    <xf borderId="0" fillId="0" fontId="37" numFmtId="0" xfId="0" applyAlignment="1" applyFont="1">
      <alignment shrinkToFit="0" vertical="bottom" wrapText="0"/>
    </xf>
    <xf borderId="25" fillId="0" fontId="46" numFmtId="166" xfId="0" applyAlignment="1" applyBorder="1" applyFont="1" applyNumberFormat="1">
      <alignment horizontal="center" shrinkToFit="0" vertical="center" wrapText="0"/>
    </xf>
    <xf borderId="25" fillId="0" fontId="46" numFmtId="164" xfId="0" applyAlignment="1" applyBorder="1" applyFont="1" applyNumberFormat="1">
      <alignment horizontal="center" shrinkToFit="0" vertical="center" wrapText="0"/>
    </xf>
    <xf borderId="25" fillId="0" fontId="46" numFmtId="165" xfId="0" applyAlignment="1" applyBorder="1" applyFont="1" applyNumberFormat="1">
      <alignment horizontal="center" shrinkToFit="0" vertical="center" wrapText="0"/>
    </xf>
    <xf borderId="25" fillId="2" fontId="48" numFmtId="0" xfId="0" applyAlignment="1" applyBorder="1" applyFont="1">
      <alignment horizontal="center" shrinkToFit="0" vertical="center" wrapText="0"/>
    </xf>
    <xf borderId="25" fillId="2" fontId="48" numFmtId="0" xfId="0" applyAlignment="1" applyBorder="1" applyFont="1">
      <alignment horizontal="right" shrinkToFit="0" vertical="center" wrapText="0"/>
    </xf>
    <xf borderId="25" fillId="2" fontId="48" numFmtId="165" xfId="0" applyAlignment="1" applyBorder="1" applyFont="1" applyNumberFormat="1">
      <alignment horizontal="center" shrinkToFit="0" vertical="center" wrapText="0"/>
    </xf>
    <xf borderId="22" fillId="9" fontId="13" numFmtId="0" xfId="0" applyAlignment="1" applyBorder="1" applyFont="1">
      <alignment horizontal="center" shrinkToFit="0" vertical="center" wrapText="0"/>
    </xf>
    <xf borderId="22" fillId="0" fontId="46" numFmtId="0" xfId="0" applyAlignment="1" applyBorder="1" applyFont="1">
      <alignment horizontal="left" shrinkToFit="0" vertical="center" wrapText="0"/>
    </xf>
    <xf borderId="25" fillId="0" fontId="46" numFmtId="9" xfId="0" applyAlignment="1" applyBorder="1" applyFont="1" applyNumberFormat="1">
      <alignment horizontal="center" shrinkToFit="0" vertical="center" wrapText="0"/>
    </xf>
    <xf borderId="22" fillId="2" fontId="48" numFmtId="0" xfId="0" applyAlignment="1" applyBorder="1" applyFont="1">
      <alignment horizontal="right" shrinkToFit="0" vertical="center" wrapText="0"/>
    </xf>
    <xf borderId="25" fillId="2" fontId="48" numFmtId="164" xfId="0" applyAlignment="1" applyBorder="1" applyFont="1" applyNumberFormat="1">
      <alignment horizontal="center" shrinkToFit="0" vertical="center" wrapText="0"/>
    </xf>
    <xf borderId="25" fillId="2" fontId="48" numFmtId="9" xfId="0" applyAlignment="1" applyBorder="1" applyFont="1" applyNumberFormat="1">
      <alignment horizontal="center" shrinkToFit="0" vertical="center" wrapText="0"/>
    </xf>
    <xf borderId="25" fillId="0" fontId="35" numFmtId="0" xfId="0" applyAlignment="1" applyBorder="1" applyFont="1">
      <alignment horizontal="center" shrinkToFit="0" vertical="center" wrapText="0"/>
    </xf>
    <xf borderId="25" fillId="0" fontId="34" numFmtId="0" xfId="0" applyAlignment="1" applyBorder="1" applyFont="1">
      <alignment horizontal="center" shrinkToFit="0" vertical="center" wrapText="0"/>
    </xf>
    <xf borderId="25" fillId="0" fontId="6" numFmtId="0" xfId="0" applyAlignment="1" applyBorder="1" applyFont="1">
      <alignment horizontal="center" shrinkToFit="0" vertical="center" wrapText="0"/>
    </xf>
    <xf borderId="33" fillId="2" fontId="13" numFmtId="0" xfId="0" applyAlignment="1" applyBorder="1" applyFont="1">
      <alignment shrinkToFit="0" vertical="bottom" wrapText="0"/>
    </xf>
    <xf borderId="0" fillId="0" fontId="49" numFmtId="0" xfId="0" applyFont="1"/>
    <xf borderId="0" fillId="0" fontId="5" numFmtId="9" xfId="0" applyAlignment="1" applyFont="1" applyNumberFormat="1">
      <alignment shrinkToFit="0" vertical="bottom" wrapText="0"/>
    </xf>
    <xf borderId="0" fillId="0" fontId="5" numFmtId="1" xfId="0" applyAlignment="1" applyFont="1" applyNumberFormat="1">
      <alignment shrinkToFit="0" vertical="bottom" wrapText="0"/>
    </xf>
    <xf borderId="0" fillId="0" fontId="49" numFmtId="9" xfId="0" applyFont="1" applyNumberFormat="1"/>
    <xf borderId="0" fillId="0" fontId="5" numFmtId="164" xfId="0" applyAlignment="1" applyFont="1" applyNumberFormat="1">
      <alignment shrinkToFit="0" vertical="bottom" wrapText="0"/>
    </xf>
    <xf borderId="0" fillId="0" fontId="5" numFmtId="167" xfId="0" applyAlignment="1" applyFont="1" applyNumberFormat="1">
      <alignment shrinkToFit="0" vertical="bottom" wrapText="0"/>
    </xf>
  </cellXfs>
  <cellStyles count="1">
    <cellStyle xfId="0" name="Normal" builtinId="0"/>
  </cellStyles>
  <dxfs count="1">
    <dxf>
      <font>
        <b/>
        <sz val="22.0"/>
        <color rgb="FFB45309"/>
        <name val="Calibri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Curva S — Horas Acumuladas (Plan. vs Real)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Acumulado Planejado (h)</c:v>
          </c:tx>
          <c:spPr>
            <a:ln cmpd="sng" w="19050">
              <a:solidFill>
                <a:srgbClr val="1F2A4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Dados!$A$11:$A$15</c:f>
            </c:strRef>
          </c:cat>
          <c:val>
            <c:numRef>
              <c:f>Dados!$B$11:$B$15</c:f>
              <c:numCache/>
            </c:numRef>
          </c:val>
          <c:smooth val="1"/>
        </c:ser>
        <c:ser>
          <c:idx val="1"/>
          <c:order val="1"/>
          <c:tx>
            <c:v>Acumulado Realizado (h)</c:v>
          </c:tx>
          <c:spPr>
            <a:ln cmpd="sng" w="19050">
              <a:solidFill>
                <a:srgbClr val="0E7490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0E7490">
                  <a:alpha val="100000"/>
                </a:srgbClr>
              </a:solidFill>
              <a:ln cmpd="sng">
                <a:solidFill>
                  <a:srgbClr val="0E7490">
                    <a:alpha val="100000"/>
                  </a:srgbClr>
                </a:solidFill>
              </a:ln>
            </c:spPr>
          </c:marker>
          <c:cat>
            <c:strRef>
              <c:f>Dados!$A$11:$A$15</c:f>
            </c:strRef>
          </c:cat>
          <c:val>
            <c:numRef>
              <c:f>Dados!$C$11:$C$15</c:f>
              <c:numCache/>
            </c:numRef>
          </c:val>
          <c:smooth val="1"/>
        </c:ser>
        <c:axId val="1290065506"/>
        <c:axId val="77419744"/>
      </c:lineChart>
      <c:catAx>
        <c:axId val="1290065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7419744"/>
      </c:catAx>
      <c:valAx>
        <c:axId val="774197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9006550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Horas por Fase — Concluídas vs Totais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Horas Totais</c:v>
          </c:tx>
          <c:spPr>
            <a:solidFill>
              <a:srgbClr val="E2E8F0"/>
            </a:solidFill>
            <a:ln cmpd="sng">
              <a:solidFill>
                <a:srgbClr val="000000"/>
              </a:solidFill>
            </a:ln>
          </c:spPr>
          <c:cat>
            <c:strRef>
              <c:f>Dados!$A$4:$A$8</c:f>
            </c:strRef>
          </c:cat>
          <c:val>
            <c:numRef>
              <c:f>Dados!$B$4:$B$8</c:f>
              <c:numCache/>
            </c:numRef>
          </c:val>
        </c:ser>
        <c:ser>
          <c:idx val="1"/>
          <c:order val="1"/>
          <c:tx>
            <c:v>Horas Concluídas</c:v>
          </c:tx>
          <c:spPr>
            <a:solidFill>
              <a:srgbClr val="0E7490"/>
            </a:solidFill>
            <a:ln cmpd="sng">
              <a:solidFill>
                <a:srgbClr val="000000"/>
              </a:solidFill>
            </a:ln>
          </c:spPr>
          <c:cat>
            <c:strRef>
              <c:f>Dados!$A$4:$A$8</c:f>
            </c:strRef>
          </c:cat>
          <c:val>
            <c:numRef>
              <c:f>Dados!$C$4:$C$8</c:f>
              <c:numCache/>
            </c:numRef>
          </c:val>
        </c:ser>
        <c:axId val="163977005"/>
        <c:axId val="106787039"/>
      </c:barChart>
      <c:catAx>
        <c:axId val="1639770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6787039"/>
      </c:catAx>
      <c:valAx>
        <c:axId val="1067870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3977005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Utilização de Recursos (% do teto TAP)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% Utilização</c:v>
          </c:tx>
          <c:spPr>
            <a:solidFill>
              <a:srgbClr val="2563E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Dados!$A$18:$A$23</c:f>
            </c:strRef>
          </c:cat>
          <c:val>
            <c:numRef>
              <c:f>Dados!$B$18:$B$23</c:f>
              <c:numCache/>
            </c:numRef>
          </c:val>
        </c:ser>
        <c:axId val="1841500225"/>
        <c:axId val="468470171"/>
      </c:barChart>
      <c:catAx>
        <c:axId val="1841500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68470171"/>
      </c:catAx>
      <c:valAx>
        <c:axId val="468470171"/>
        <c:scaling>
          <c:orientation val="minMax"/>
          <c:max val="1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41500225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Severidade de Riscos por Categoria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Dados!$B$25</c:f>
            </c:strRef>
          </c:tx>
          <c:dPt>
            <c:idx val="0"/>
            <c:spPr>
              <a:solidFill>
                <a:srgbClr val="B91C1C"/>
              </a:solidFill>
            </c:spPr>
          </c:dPt>
          <c:dPt>
            <c:idx val="1"/>
            <c:spPr>
              <a:solidFill>
                <a:srgbClr val="B45309"/>
              </a:solidFill>
            </c:spPr>
          </c:dPt>
          <c:dPt>
            <c:idx val="2"/>
            <c:spPr>
              <a:solidFill>
                <a:srgbClr val="2563EB"/>
              </a:solidFill>
            </c:spPr>
          </c:dPt>
          <c:dPt>
            <c:idx val="3"/>
            <c:spPr>
              <a:solidFill>
                <a:srgbClr val="0E7490"/>
              </a:solidFill>
            </c:spPr>
          </c:dPt>
          <c:dPt>
            <c:idx val="4"/>
            <c:spPr>
              <a:solidFill>
                <a:srgbClr val="15803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Dados!$A$26:$A$30</c:f>
            </c:strRef>
          </c:cat>
          <c:val>
            <c:numRef>
              <c:f>Dados!$B$26:$B$30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22</xdr:row>
      <xdr:rowOff>0</xdr:rowOff>
    </xdr:from>
    <xdr:ext cx="4838700" cy="2733675"/>
    <xdr:graphicFrame>
      <xdr:nvGraphicFramePr>
        <xdr:cNvPr id="43667474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22</xdr:row>
      <xdr:rowOff>0</xdr:rowOff>
    </xdr:from>
    <xdr:ext cx="4819650" cy="2733675"/>
    <xdr:graphicFrame>
      <xdr:nvGraphicFramePr>
        <xdr:cNvPr id="212911991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38</xdr:row>
      <xdr:rowOff>0</xdr:rowOff>
    </xdr:from>
    <xdr:ext cx="4838700" cy="2733675"/>
    <xdr:graphicFrame>
      <xdr:nvGraphicFramePr>
        <xdr:cNvPr id="201121226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0</xdr:colOff>
      <xdr:row>38</xdr:row>
      <xdr:rowOff>0</xdr:rowOff>
    </xdr:from>
    <xdr:ext cx="4819650" cy="2733675"/>
    <xdr:graphicFrame>
      <xdr:nvGraphicFramePr>
        <xdr:cNvPr id="149877982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16" width="9.57"/>
    <col customWidth="1" min="17" max="17" width="2.43"/>
    <col customWidth="1" min="18" max="26" width="8.71"/>
  </cols>
  <sheetData>
    <row r="1" ht="6.0" customHeight="1"/>
    <row r="2" ht="30.0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18.0" customHeight="1">
      <c r="B3" s="4" t="str">
        <f>CONCATENATE("Projeto: ",'Parâmetros'!$C$5,"   |   GP: ",'Parâmetros'!$C$6,"   |   Data de Status: ",'Parâmetros'!$C$10)</f>
        <v>Projeto: Kybernus CLI   |   GP: Guilherme Marafon   |   Data de Status: 31/05/2026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6.0" customHeight="1"/>
    <row r="5" ht="18.0" customHeight="1">
      <c r="B5" s="5" t="s">
        <v>1</v>
      </c>
    </row>
    <row r="6" ht="4.5" customHeight="1">
      <c r="B6" s="6"/>
      <c r="C6" s="6"/>
      <c r="D6" s="6"/>
      <c r="E6" s="7"/>
      <c r="F6" s="7"/>
      <c r="G6" s="7"/>
      <c r="H6" s="8"/>
      <c r="I6" s="8"/>
      <c r="J6" s="8"/>
      <c r="K6" s="9"/>
      <c r="L6" s="9"/>
      <c r="M6" s="9"/>
      <c r="N6" s="10"/>
      <c r="O6" s="10"/>
      <c r="P6" s="10"/>
    </row>
    <row r="7" ht="13.5" customHeight="1">
      <c r="B7" s="11" t="s">
        <v>2</v>
      </c>
      <c r="C7" s="2"/>
      <c r="D7" s="3"/>
      <c r="E7" s="11" t="s">
        <v>3</v>
      </c>
      <c r="F7" s="2"/>
      <c r="G7" s="3"/>
      <c r="H7" s="11" t="s">
        <v>4</v>
      </c>
      <c r="I7" s="2"/>
      <c r="J7" s="3"/>
      <c r="K7" s="11" t="s">
        <v>5</v>
      </c>
      <c r="L7" s="2"/>
      <c r="M7" s="3"/>
      <c r="N7" s="11" t="s">
        <v>6</v>
      </c>
      <c r="O7" s="2"/>
      <c r="P7" s="3"/>
    </row>
    <row r="8" ht="25.5" customHeight="1">
      <c r="B8" s="12" t="str">
        <f>IF(AND(Dados!$B$43&gt;=0.95,Dados!$B$45&gt;=0.95),"🟢 NO PRAZO",IF(OR(Dados!$B$43&lt;0.85,Dados!$B$45&lt;0.85),"🔴 CRÍTICO","🟡 ATENÇÃO"))</f>
        <v>🟢 NO PRAZO</v>
      </c>
      <c r="C8" s="13"/>
      <c r="D8" s="14"/>
      <c r="E8" s="15">
        <f>'Parâmetros'!$C$17</f>
        <v>0.611</v>
      </c>
      <c r="F8" s="13"/>
      <c r="G8" s="14"/>
      <c r="H8" s="16">
        <f>Dados!$B$43</f>
        <v>0.9998363607</v>
      </c>
      <c r="I8" s="13"/>
      <c r="J8" s="14"/>
      <c r="K8" s="17">
        <f>Dados!$B$45</f>
        <v>1.000047917</v>
      </c>
      <c r="L8" s="13"/>
      <c r="M8" s="14"/>
      <c r="N8" s="18">
        <f>Dados!$B$48</f>
        <v>0.6109707242</v>
      </c>
      <c r="O8" s="13"/>
      <c r="P8" s="14"/>
    </row>
    <row r="9" ht="9.75" customHeight="1">
      <c r="B9" s="19"/>
      <c r="C9" s="20"/>
      <c r="D9" s="21"/>
      <c r="E9" s="19"/>
      <c r="F9" s="20"/>
      <c r="G9" s="21"/>
      <c r="H9" s="19"/>
      <c r="I9" s="20"/>
      <c r="J9" s="21"/>
      <c r="K9" s="19"/>
      <c r="L9" s="20"/>
      <c r="M9" s="21"/>
      <c r="N9" s="19"/>
      <c r="O9" s="20"/>
      <c r="P9" s="21"/>
    </row>
    <row r="10" ht="15.75" customHeight="1">
      <c r="B10" s="22" t="str">
        <f>"Prazo + Custo (EVM)"</f>
        <v>Prazo + Custo (EVM)</v>
      </c>
      <c r="C10" s="23"/>
      <c r="D10" s="24"/>
      <c r="E10" s="22" t="str">
        <f>CONCATENATE("Planejado: ",TEXT('Parâmetros'!$C$23,"0%"))</f>
        <v>Planejado: 61%</v>
      </c>
      <c r="F10" s="23"/>
      <c r="G10" s="24"/>
      <c r="H10" s="22" t="str">
        <f>IF(Dados!$B$43&gt;=0.95,"No ritmo","Atraso de cronograma")</f>
        <v>No ritmo</v>
      </c>
      <c r="I10" s="23"/>
      <c r="J10" s="24"/>
      <c r="K10" s="22" t="str">
        <f>IF(Dados!$B$45&gt;=1,"Dentro do custo","Acima do custo")</f>
        <v>Dentro do custo</v>
      </c>
      <c r="L10" s="23"/>
      <c r="M10" s="24"/>
      <c r="N10" s="22" t="str">
        <f>CONCATENATE("de ",TEXT('Parâmetros'!$C$13,"R$ #,##0"))</f>
        <v>de R$ 32.450</v>
      </c>
      <c r="O10" s="23"/>
      <c r="P10" s="24"/>
    </row>
    <row r="11" ht="6.0" customHeight="1"/>
    <row r="12">
      <c r="B12" s="5" t="s">
        <v>7</v>
      </c>
    </row>
    <row r="13">
      <c r="B13" s="25" t="s">
        <v>8</v>
      </c>
      <c r="C13" s="26"/>
      <c r="D13" s="27"/>
      <c r="E13" s="28" t="s">
        <v>9</v>
      </c>
      <c r="F13" s="28" t="s">
        <v>10</v>
      </c>
      <c r="G13" s="28" t="s">
        <v>11</v>
      </c>
      <c r="H13" s="25" t="s">
        <v>12</v>
      </c>
      <c r="I13" s="26"/>
      <c r="J13" s="27"/>
      <c r="K13" s="5" t="s">
        <v>13</v>
      </c>
    </row>
    <row r="14" ht="24.0" customHeight="1">
      <c r="B14" s="29" t="s">
        <v>14</v>
      </c>
      <c r="C14" s="30"/>
      <c r="D14" s="31"/>
      <c r="E14" s="32">
        <f>Dados!$B$45</f>
        <v>1.000047917</v>
      </c>
      <c r="F14" s="33" t="s">
        <v>15</v>
      </c>
      <c r="G14" s="34" t="s">
        <v>11</v>
      </c>
      <c r="H14" s="35" t="str">
        <f>IF(Dados!$B$45&gt;=1,"Eficiência de custo — EV acima do AC","Custo acima do previsto")</f>
        <v>Eficiência de custo — EV acima do AC</v>
      </c>
      <c r="I14" s="30"/>
      <c r="J14" s="31"/>
      <c r="K14" s="36">
        <f>'Parâmetros'!$C$19</f>
        <v>48</v>
      </c>
      <c r="L14" s="37"/>
      <c r="M14" s="38">
        <f>'Parâmetros'!$C$20</f>
        <v>3</v>
      </c>
      <c r="N14" s="37"/>
      <c r="O14" s="39">
        <f>Dados!$B$44</f>
        <v>19826.95</v>
      </c>
      <c r="P14" s="37"/>
    </row>
    <row r="15" ht="12.75" customHeight="1">
      <c r="B15" s="29" t="s">
        <v>16</v>
      </c>
      <c r="C15" s="30"/>
      <c r="D15" s="31"/>
      <c r="E15" s="32">
        <f>Dados!$B$43</f>
        <v>0.9998363607</v>
      </c>
      <c r="F15" s="33" t="s">
        <v>15</v>
      </c>
      <c r="G15" s="34" t="s">
        <v>11</v>
      </c>
      <c r="H15" s="35" t="str">
        <f>IF(Dados!$B$43&gt;=0.95,"Cronograma no ritmo","Atraso em relação ao plano")</f>
        <v>Cronograma no ritmo</v>
      </c>
      <c r="I15" s="30"/>
      <c r="J15" s="31"/>
      <c r="K15" s="40" t="s">
        <v>17</v>
      </c>
      <c r="L15" s="41"/>
      <c r="M15" s="42" t="s">
        <v>18</v>
      </c>
      <c r="N15" s="41"/>
      <c r="O15" s="43" t="s">
        <v>19</v>
      </c>
      <c r="P15" s="41"/>
    </row>
    <row r="16" ht="24.0" customHeight="1">
      <c r="B16" s="29" t="s">
        <v>20</v>
      </c>
      <c r="C16" s="30"/>
      <c r="D16" s="31"/>
      <c r="E16" s="44">
        <f>Dados!$B$47</f>
        <v>0.95</v>
      </c>
      <c r="F16" s="33" t="s">
        <v>21</v>
      </c>
      <c r="G16" s="34" t="s">
        <v>11</v>
      </c>
      <c r="H16" s="35" t="str">
        <f>IF(Dados!$B$47&gt;=0,"Dentro do orçamento","Estouro de custo")</f>
        <v>Dentro do orçamento</v>
      </c>
      <c r="I16" s="30"/>
      <c r="J16" s="31"/>
      <c r="K16" s="45">
        <f>'Parâmetros'!$C$21</f>
        <v>0</v>
      </c>
      <c r="L16" s="37"/>
      <c r="M16" s="46">
        <f>'Parâmetros'!$C$22</f>
        <v>32</v>
      </c>
      <c r="N16" s="37"/>
      <c r="O16" s="47">
        <f>Dados!$B$46</f>
        <v>19830.195</v>
      </c>
      <c r="P16" s="37"/>
    </row>
    <row r="17" ht="12.75" customHeight="1">
      <c r="B17" s="29" t="s">
        <v>22</v>
      </c>
      <c r="C17" s="30"/>
      <c r="D17" s="31"/>
      <c r="E17" s="48">
        <f>'Parâmetros'!$C$17</f>
        <v>0.611</v>
      </c>
      <c r="F17" s="33" t="s">
        <v>23</v>
      </c>
      <c r="G17" s="49" t="s">
        <v>11</v>
      </c>
      <c r="H17" s="35" t="str">
        <f>CONCATENATE("Real ",TEXT('Parâmetros'!$C$17,"0%")," / Plan. ",TEXT('Parâmetros'!$C$23,"0%"))</f>
        <v>Real 61% / Plan. 61%</v>
      </c>
      <c r="I17" s="30"/>
      <c r="J17" s="31"/>
      <c r="K17" s="50" t="s">
        <v>24</v>
      </c>
      <c r="L17" s="41"/>
      <c r="M17" s="51" t="s">
        <v>25</v>
      </c>
      <c r="N17" s="41"/>
      <c r="O17" s="52" t="s">
        <v>26</v>
      </c>
      <c r="P17" s="41"/>
    </row>
    <row r="21" ht="15.75" customHeight="1"/>
    <row r="22" ht="18.0" customHeight="1">
      <c r="B22" s="5" t="s">
        <v>27</v>
      </c>
    </row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75" customHeight="1">
      <c r="B56" s="5" t="s">
        <v>28</v>
      </c>
      <c r="J56" s="5" t="s">
        <v>29</v>
      </c>
    </row>
    <row r="57" ht="15.75" customHeight="1">
      <c r="B57" s="25" t="s">
        <v>30</v>
      </c>
      <c r="C57" s="26"/>
      <c r="D57" s="27"/>
      <c r="E57" s="25" t="s">
        <v>31</v>
      </c>
      <c r="F57" s="27"/>
      <c r="G57" s="25" t="s">
        <v>32</v>
      </c>
      <c r="H57" s="27"/>
      <c r="J57" s="25" t="s">
        <v>33</v>
      </c>
      <c r="K57" s="26"/>
      <c r="L57" s="26"/>
      <c r="M57" s="26"/>
      <c r="N57" s="27"/>
      <c r="O57" s="28" t="s">
        <v>34</v>
      </c>
      <c r="P57" s="28" t="s">
        <v>35</v>
      </c>
    </row>
    <row r="58" ht="15.75" customHeight="1">
      <c r="B58" s="29" t="s">
        <v>36</v>
      </c>
      <c r="C58" s="30"/>
      <c r="D58" s="31"/>
      <c r="E58" s="53" t="s">
        <v>37</v>
      </c>
      <c r="F58" s="31"/>
      <c r="G58" s="54" t="s">
        <v>38</v>
      </c>
      <c r="H58" s="31"/>
      <c r="J58" s="55" t="s">
        <v>39</v>
      </c>
      <c r="K58" s="30"/>
      <c r="L58" s="30"/>
      <c r="M58" s="30"/>
      <c r="N58" s="31"/>
      <c r="O58" s="56">
        <v>12.0</v>
      </c>
      <c r="P58" s="57" t="s">
        <v>40</v>
      </c>
    </row>
    <row r="59" ht="15.75" customHeight="1">
      <c r="B59" s="29" t="s">
        <v>41</v>
      </c>
      <c r="C59" s="30"/>
      <c r="D59" s="31"/>
      <c r="E59" s="53" t="s">
        <v>42</v>
      </c>
      <c r="F59" s="31"/>
      <c r="G59" s="54" t="s">
        <v>38</v>
      </c>
      <c r="H59" s="31"/>
      <c r="J59" s="55" t="s">
        <v>43</v>
      </c>
      <c r="K59" s="30"/>
      <c r="L59" s="30"/>
      <c r="M59" s="30"/>
      <c r="N59" s="31"/>
      <c r="O59" s="56">
        <v>12.0</v>
      </c>
      <c r="P59" s="57" t="s">
        <v>40</v>
      </c>
    </row>
    <row r="60" ht="15.75" customHeight="1">
      <c r="B60" s="29" t="s">
        <v>44</v>
      </c>
      <c r="C60" s="30"/>
      <c r="D60" s="31"/>
      <c r="E60" s="53" t="s">
        <v>45</v>
      </c>
      <c r="F60" s="31"/>
      <c r="G60" s="58" t="s">
        <v>46</v>
      </c>
      <c r="H60" s="31"/>
      <c r="J60" s="55" t="s">
        <v>47</v>
      </c>
      <c r="K60" s="30"/>
      <c r="L60" s="30"/>
      <c r="M60" s="30"/>
      <c r="N60" s="31"/>
      <c r="O60" s="56">
        <v>12.0</v>
      </c>
      <c r="P60" s="57" t="s">
        <v>40</v>
      </c>
    </row>
    <row r="61" ht="15.75" customHeight="1">
      <c r="B61" s="29" t="s">
        <v>48</v>
      </c>
      <c r="C61" s="30"/>
      <c r="D61" s="31"/>
      <c r="E61" s="53" t="s">
        <v>49</v>
      </c>
      <c r="F61" s="31"/>
      <c r="G61" s="58" t="s">
        <v>46</v>
      </c>
      <c r="H61" s="31"/>
      <c r="J61" s="55" t="s">
        <v>50</v>
      </c>
      <c r="K61" s="30"/>
      <c r="L61" s="30"/>
      <c r="M61" s="30"/>
      <c r="N61" s="31"/>
      <c r="O61" s="56">
        <v>9.0</v>
      </c>
      <c r="P61" s="57" t="s">
        <v>40</v>
      </c>
    </row>
    <row r="62" ht="15.75" customHeight="1">
      <c r="B62" s="29" t="s">
        <v>51</v>
      </c>
      <c r="C62" s="30"/>
      <c r="D62" s="31"/>
      <c r="E62" s="53" t="s">
        <v>52</v>
      </c>
      <c r="F62" s="31"/>
      <c r="G62" s="58" t="s">
        <v>46</v>
      </c>
      <c r="H62" s="31"/>
      <c r="J62" s="55" t="s">
        <v>53</v>
      </c>
      <c r="K62" s="30"/>
      <c r="L62" s="30"/>
      <c r="M62" s="30"/>
      <c r="N62" s="31"/>
      <c r="O62" s="56">
        <v>9.0</v>
      </c>
      <c r="P62" s="57" t="s">
        <v>40</v>
      </c>
    </row>
    <row r="63" ht="15.75" customHeight="1">
      <c r="J63" s="55" t="s">
        <v>54</v>
      </c>
      <c r="K63" s="30"/>
      <c r="L63" s="30"/>
      <c r="M63" s="30"/>
      <c r="N63" s="31"/>
      <c r="O63" s="56">
        <v>9.0</v>
      </c>
      <c r="P63" s="57" t="s">
        <v>40</v>
      </c>
    </row>
    <row r="64" ht="15.75" customHeight="1"/>
    <row r="65" ht="15.75" customHeight="1">
      <c r="B65" s="5" t="s">
        <v>55</v>
      </c>
    </row>
    <row r="66" ht="15.75" customHeight="1">
      <c r="B66" s="25" t="s">
        <v>33</v>
      </c>
      <c r="C66" s="26"/>
      <c r="D66" s="26"/>
      <c r="E66" s="26"/>
      <c r="F66" s="26"/>
      <c r="G66" s="26"/>
      <c r="H66" s="26"/>
      <c r="I66" s="27"/>
      <c r="J66" s="25" t="s">
        <v>56</v>
      </c>
      <c r="K66" s="26"/>
      <c r="L66" s="26"/>
      <c r="M66" s="27"/>
      <c r="N66" s="25" t="s">
        <v>57</v>
      </c>
      <c r="O66" s="27"/>
      <c r="P66" s="28" t="s">
        <v>58</v>
      </c>
    </row>
    <row r="67" ht="15.75" customHeight="1">
      <c r="B67" s="29" t="s">
        <v>39</v>
      </c>
      <c r="C67" s="30"/>
      <c r="D67" s="30"/>
      <c r="E67" s="30"/>
      <c r="F67" s="30"/>
      <c r="G67" s="30"/>
      <c r="H67" s="30"/>
      <c r="I67" s="31"/>
      <c r="J67" s="59" t="s">
        <v>59</v>
      </c>
      <c r="K67" s="30"/>
      <c r="L67" s="30"/>
      <c r="M67" s="31"/>
      <c r="N67" s="60" t="s">
        <v>60</v>
      </c>
      <c r="O67" s="31"/>
      <c r="P67" s="61" t="s">
        <v>61</v>
      </c>
    </row>
    <row r="68" ht="15.75" customHeight="1">
      <c r="B68" s="29" t="s">
        <v>43</v>
      </c>
      <c r="C68" s="30"/>
      <c r="D68" s="30"/>
      <c r="E68" s="30"/>
      <c r="F68" s="30"/>
      <c r="G68" s="30"/>
      <c r="H68" s="30"/>
      <c r="I68" s="31"/>
      <c r="J68" s="59" t="s">
        <v>62</v>
      </c>
      <c r="K68" s="30"/>
      <c r="L68" s="30"/>
      <c r="M68" s="31"/>
      <c r="N68" s="60" t="s">
        <v>63</v>
      </c>
      <c r="O68" s="31"/>
      <c r="P68" s="61" t="s">
        <v>61</v>
      </c>
    </row>
    <row r="69" ht="15.75" customHeight="1">
      <c r="B69" s="29" t="s">
        <v>47</v>
      </c>
      <c r="C69" s="30"/>
      <c r="D69" s="30"/>
      <c r="E69" s="30"/>
      <c r="F69" s="30"/>
      <c r="G69" s="30"/>
      <c r="H69" s="30"/>
      <c r="I69" s="31"/>
      <c r="J69" s="59" t="s">
        <v>62</v>
      </c>
      <c r="K69" s="30"/>
      <c r="L69" s="30"/>
      <c r="M69" s="31"/>
      <c r="N69" s="60" t="s">
        <v>64</v>
      </c>
      <c r="O69" s="31"/>
      <c r="P69" s="61" t="s">
        <v>65</v>
      </c>
    </row>
    <row r="70" ht="15.75" customHeight="1">
      <c r="B70" s="29" t="s">
        <v>50</v>
      </c>
      <c r="C70" s="30"/>
      <c r="D70" s="30"/>
      <c r="E70" s="30"/>
      <c r="F70" s="30"/>
      <c r="G70" s="30"/>
      <c r="H70" s="30"/>
      <c r="I70" s="31"/>
      <c r="J70" s="58" t="s">
        <v>59</v>
      </c>
      <c r="K70" s="30"/>
      <c r="L70" s="30"/>
      <c r="M70" s="31"/>
      <c r="N70" s="60" t="s">
        <v>63</v>
      </c>
      <c r="O70" s="31"/>
      <c r="P70" s="61" t="s">
        <v>61</v>
      </c>
    </row>
    <row r="71" ht="15.75" customHeight="1">
      <c r="B71" s="29" t="s">
        <v>53</v>
      </c>
      <c r="C71" s="30"/>
      <c r="D71" s="30"/>
      <c r="E71" s="30"/>
      <c r="F71" s="30"/>
      <c r="G71" s="30"/>
      <c r="H71" s="30"/>
      <c r="I71" s="31"/>
      <c r="J71" s="58" t="s">
        <v>59</v>
      </c>
      <c r="K71" s="30"/>
      <c r="L71" s="30"/>
      <c r="M71" s="31"/>
      <c r="N71" s="60" t="s">
        <v>64</v>
      </c>
      <c r="O71" s="31"/>
      <c r="P71" s="61" t="s">
        <v>65</v>
      </c>
    </row>
    <row r="72" ht="15.75" customHeight="1"/>
    <row r="73" ht="15.0" customHeight="1">
      <c r="B73" s="62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4"/>
    </row>
    <row r="74" ht="15.75" customHeight="1">
      <c r="B74" s="63"/>
      <c r="P74" s="64"/>
    </row>
    <row r="75" ht="15.75" customHeight="1">
      <c r="B75" s="19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1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B58:D58"/>
    <mergeCell ref="E58:F58"/>
    <mergeCell ref="G58:H58"/>
    <mergeCell ref="J58:N58"/>
    <mergeCell ref="E59:F59"/>
    <mergeCell ref="G59:H59"/>
    <mergeCell ref="J59:N59"/>
    <mergeCell ref="B59:D59"/>
    <mergeCell ref="B60:D60"/>
    <mergeCell ref="E60:F60"/>
    <mergeCell ref="G60:H60"/>
    <mergeCell ref="B61:D61"/>
    <mergeCell ref="E61:F61"/>
    <mergeCell ref="G61:H61"/>
    <mergeCell ref="B62:D62"/>
    <mergeCell ref="E62:F62"/>
    <mergeCell ref="G62:H62"/>
    <mergeCell ref="J62:N62"/>
    <mergeCell ref="J63:N63"/>
    <mergeCell ref="J66:M66"/>
    <mergeCell ref="N66:O66"/>
    <mergeCell ref="B66:I66"/>
    <mergeCell ref="B67:I67"/>
    <mergeCell ref="J67:M67"/>
    <mergeCell ref="N67:O67"/>
    <mergeCell ref="B68:I68"/>
    <mergeCell ref="J68:M68"/>
    <mergeCell ref="N68:O68"/>
    <mergeCell ref="J71:M71"/>
    <mergeCell ref="N71:O71"/>
    <mergeCell ref="B69:I69"/>
    <mergeCell ref="J69:M69"/>
    <mergeCell ref="N69:O69"/>
    <mergeCell ref="B70:I70"/>
    <mergeCell ref="J70:M70"/>
    <mergeCell ref="N70:O70"/>
    <mergeCell ref="B71:I71"/>
    <mergeCell ref="B73:P75"/>
    <mergeCell ref="B2:Q2"/>
    <mergeCell ref="B3:Q3"/>
    <mergeCell ref="B7:D7"/>
    <mergeCell ref="E7:G7"/>
    <mergeCell ref="H7:J7"/>
    <mergeCell ref="K7:M7"/>
    <mergeCell ref="N7:P7"/>
    <mergeCell ref="B8:D9"/>
    <mergeCell ref="E8:G9"/>
    <mergeCell ref="H8:J9"/>
    <mergeCell ref="K8:M9"/>
    <mergeCell ref="N8:P9"/>
    <mergeCell ref="B10:D10"/>
    <mergeCell ref="E10:G10"/>
    <mergeCell ref="N10:P10"/>
    <mergeCell ref="M14:N14"/>
    <mergeCell ref="O14:P14"/>
    <mergeCell ref="M15:N15"/>
    <mergeCell ref="O15:P15"/>
    <mergeCell ref="M16:N16"/>
    <mergeCell ref="O16:P16"/>
    <mergeCell ref="M17:N17"/>
    <mergeCell ref="O17:P17"/>
    <mergeCell ref="H14:J14"/>
    <mergeCell ref="H15:J15"/>
    <mergeCell ref="H16:J16"/>
    <mergeCell ref="K16:L16"/>
    <mergeCell ref="H17:J17"/>
    <mergeCell ref="K17:L17"/>
    <mergeCell ref="H10:J10"/>
    <mergeCell ref="K10:M10"/>
    <mergeCell ref="B13:D13"/>
    <mergeCell ref="H13:J13"/>
    <mergeCell ref="B14:D14"/>
    <mergeCell ref="K14:L14"/>
    <mergeCell ref="K15:L15"/>
    <mergeCell ref="B15:D15"/>
    <mergeCell ref="B16:D16"/>
    <mergeCell ref="B17:D17"/>
    <mergeCell ref="B57:D57"/>
    <mergeCell ref="E57:F57"/>
    <mergeCell ref="G57:H57"/>
    <mergeCell ref="J57:N57"/>
    <mergeCell ref="J60:N60"/>
    <mergeCell ref="J61:N61"/>
  </mergeCells>
  <conditionalFormatting sqref="B8">
    <cfRule type="expression" dxfId="0" priority="1">
      <formula>1</formula>
    </cfRule>
  </conditionalFormatting>
  <printOptions/>
  <pageMargins bottom="0.3" footer="0.0" header="0.0" left="0.2" right="0.2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24.0"/>
    <col customWidth="1" min="4" max="4" width="3.0"/>
    <col customWidth="1" min="5" max="5" width="60.0"/>
    <col customWidth="1" min="6" max="26" width="8.71"/>
  </cols>
  <sheetData>
    <row r="2" ht="25.5" customHeight="1">
      <c r="B2" s="65" t="s">
        <v>66</v>
      </c>
      <c r="C2" s="2"/>
      <c r="D2" s="2"/>
      <c r="E2" s="3"/>
    </row>
    <row r="3" ht="15.0" customHeight="1">
      <c r="E3" s="66" t="s">
        <v>67</v>
      </c>
    </row>
    <row r="4">
      <c r="B4" s="67" t="s">
        <v>68</v>
      </c>
    </row>
    <row r="5">
      <c r="B5" s="68" t="s">
        <v>69</v>
      </c>
      <c r="C5" s="69" t="s">
        <v>70</v>
      </c>
    </row>
    <row r="6">
      <c r="B6" s="68" t="s">
        <v>71</v>
      </c>
      <c r="C6" s="69" t="s">
        <v>72</v>
      </c>
    </row>
    <row r="7">
      <c r="B7" s="68" t="s">
        <v>73</v>
      </c>
      <c r="C7" s="69" t="s">
        <v>74</v>
      </c>
    </row>
    <row r="8">
      <c r="B8" s="68" t="s">
        <v>75</v>
      </c>
      <c r="C8" s="69" t="s">
        <v>76</v>
      </c>
    </row>
    <row r="9">
      <c r="B9" s="68" t="s">
        <v>77</v>
      </c>
      <c r="C9" s="69" t="s">
        <v>52</v>
      </c>
    </row>
    <row r="10">
      <c r="B10" s="68" t="s">
        <v>78</v>
      </c>
      <c r="C10" s="69" t="s">
        <v>79</v>
      </c>
    </row>
    <row r="11">
      <c r="B11" s="68" t="s">
        <v>80</v>
      </c>
      <c r="C11" s="69">
        <v>83.0</v>
      </c>
    </row>
    <row r="12">
      <c r="B12" s="68" t="s">
        <v>81</v>
      </c>
      <c r="C12" s="69">
        <v>1008.0</v>
      </c>
    </row>
    <row r="13">
      <c r="B13" s="68" t="s">
        <v>82</v>
      </c>
      <c r="C13" s="70">
        <v>32450.0</v>
      </c>
    </row>
    <row r="14">
      <c r="B14" s="68" t="s">
        <v>83</v>
      </c>
      <c r="C14" s="70">
        <v>27130.0</v>
      </c>
    </row>
    <row r="16">
      <c r="B16" s="71" t="s">
        <v>84</v>
      </c>
    </row>
    <row r="17">
      <c r="B17" s="68" t="s">
        <v>85</v>
      </c>
      <c r="C17" s="72">
        <v>0.611</v>
      </c>
    </row>
    <row r="18">
      <c r="B18" s="68" t="s">
        <v>86</v>
      </c>
      <c r="C18" s="73">
        <v>19826.0</v>
      </c>
    </row>
    <row r="19">
      <c r="B19" s="68" t="s">
        <v>87</v>
      </c>
      <c r="C19" s="74">
        <v>48.0</v>
      </c>
    </row>
    <row r="20">
      <c r="B20" s="68" t="s">
        <v>88</v>
      </c>
      <c r="C20" s="74">
        <v>3.0</v>
      </c>
    </row>
    <row r="21" ht="15.75" customHeight="1">
      <c r="B21" s="68" t="s">
        <v>89</v>
      </c>
      <c r="C21" s="74">
        <v>0.0</v>
      </c>
    </row>
    <row r="22" ht="15.75" customHeight="1">
      <c r="B22" s="68" t="s">
        <v>90</v>
      </c>
      <c r="C22" s="74">
        <v>32.0</v>
      </c>
    </row>
    <row r="23" ht="15.75" customHeight="1">
      <c r="B23" s="68" t="s">
        <v>91</v>
      </c>
      <c r="C23" s="75">
        <v>0.6111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E2"/>
    <mergeCell ref="E3:E15"/>
  </mergeCells>
  <printOptions/>
  <pageMargins bottom="1.0" footer="0.0" header="0.0" left="0.2" right="0.2" top="1.0"/>
  <pageSetup fitToHeight="0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.0"/>
    <col customWidth="1" min="2" max="2" width="8.0"/>
    <col customWidth="1" min="3" max="3" width="52.0"/>
    <col customWidth="1" min="4" max="5" width="12.0"/>
    <col customWidth="1" min="6" max="6" width="9.0"/>
    <col customWidth="1" min="7" max="7" width="8.0"/>
    <col customWidth="1" min="8" max="8" width="20.0"/>
    <col customWidth="1" min="9" max="26" width="8.71"/>
  </cols>
  <sheetData>
    <row r="1" ht="25.5" customHeight="1">
      <c r="A1" s="65" t="s">
        <v>92</v>
      </c>
      <c r="B1" s="2"/>
      <c r="C1" s="2"/>
      <c r="D1" s="2"/>
      <c r="E1" s="2"/>
      <c r="F1" s="2"/>
      <c r="G1" s="2"/>
      <c r="H1" s="3"/>
    </row>
    <row r="2">
      <c r="A2" s="76" t="s">
        <v>93</v>
      </c>
      <c r="B2" s="76" t="s">
        <v>94</v>
      </c>
      <c r="C2" s="76" t="s">
        <v>95</v>
      </c>
      <c r="D2" s="76" t="s">
        <v>96</v>
      </c>
      <c r="E2" s="76" t="s">
        <v>97</v>
      </c>
      <c r="F2" s="76" t="s">
        <v>98</v>
      </c>
      <c r="G2" s="76" t="s">
        <v>99</v>
      </c>
      <c r="H2" s="76" t="s">
        <v>58</v>
      </c>
    </row>
    <row r="3">
      <c r="A3" s="77" t="s">
        <v>100</v>
      </c>
      <c r="B3" s="2"/>
      <c r="C3" s="2"/>
      <c r="D3" s="2"/>
      <c r="E3" s="2"/>
      <c r="F3" s="2"/>
      <c r="G3" s="2"/>
      <c r="H3" s="3"/>
    </row>
    <row r="4">
      <c r="A4" s="78">
        <v>4.0</v>
      </c>
      <c r="B4" s="79" t="s">
        <v>101</v>
      </c>
      <c r="C4" s="80" t="s">
        <v>102</v>
      </c>
      <c r="D4" s="79" t="s">
        <v>76</v>
      </c>
      <c r="E4" s="79" t="s">
        <v>103</v>
      </c>
      <c r="F4" s="79">
        <v>4.0</v>
      </c>
      <c r="G4" s="79">
        <v>8.0</v>
      </c>
      <c r="H4" s="80" t="s">
        <v>61</v>
      </c>
    </row>
    <row r="5">
      <c r="A5" s="78">
        <v>5.0</v>
      </c>
      <c r="B5" s="81" t="s">
        <v>101</v>
      </c>
      <c r="C5" s="82" t="s">
        <v>104</v>
      </c>
      <c r="D5" s="81" t="s">
        <v>105</v>
      </c>
      <c r="E5" s="81" t="s">
        <v>105</v>
      </c>
      <c r="F5" s="81">
        <v>2.0</v>
      </c>
      <c r="G5" s="81">
        <v>4.0</v>
      </c>
      <c r="H5" s="82" t="s">
        <v>61</v>
      </c>
    </row>
    <row r="6">
      <c r="A6" s="78">
        <v>6.0</v>
      </c>
      <c r="B6" s="79" t="s">
        <v>101</v>
      </c>
      <c r="C6" s="80" t="s">
        <v>106</v>
      </c>
      <c r="D6" s="79" t="s">
        <v>105</v>
      </c>
      <c r="E6" s="79" t="s">
        <v>105</v>
      </c>
      <c r="F6" s="79">
        <v>1.0</v>
      </c>
      <c r="G6" s="79">
        <v>2.0</v>
      </c>
      <c r="H6" s="80" t="s">
        <v>107</v>
      </c>
    </row>
    <row r="7">
      <c r="A7" s="78">
        <v>8.0</v>
      </c>
      <c r="B7" s="81" t="s">
        <v>108</v>
      </c>
      <c r="C7" s="82" t="s">
        <v>109</v>
      </c>
      <c r="D7" s="81" t="s">
        <v>110</v>
      </c>
      <c r="E7" s="81" t="s">
        <v>111</v>
      </c>
      <c r="F7" s="81">
        <v>4.0</v>
      </c>
      <c r="G7" s="81">
        <v>8.0</v>
      </c>
      <c r="H7" s="82" t="s">
        <v>112</v>
      </c>
    </row>
    <row r="8">
      <c r="A8" s="78">
        <v>9.0</v>
      </c>
      <c r="B8" s="79" t="s">
        <v>108</v>
      </c>
      <c r="C8" s="80" t="s">
        <v>113</v>
      </c>
      <c r="D8" s="79" t="s">
        <v>114</v>
      </c>
      <c r="E8" s="79" t="s">
        <v>114</v>
      </c>
      <c r="F8" s="79">
        <v>2.0</v>
      </c>
      <c r="G8" s="79">
        <v>4.0</v>
      </c>
      <c r="H8" s="80" t="s">
        <v>61</v>
      </c>
    </row>
    <row r="9">
      <c r="A9" s="78">
        <v>10.0</v>
      </c>
      <c r="B9" s="81" t="s">
        <v>108</v>
      </c>
      <c r="C9" s="82" t="s">
        <v>115</v>
      </c>
      <c r="D9" s="81" t="s">
        <v>116</v>
      </c>
      <c r="E9" s="81" t="s">
        <v>116</v>
      </c>
      <c r="F9" s="81">
        <v>2.0</v>
      </c>
      <c r="G9" s="81">
        <v>4.0</v>
      </c>
      <c r="H9" s="82" t="s">
        <v>61</v>
      </c>
    </row>
    <row r="10">
      <c r="A10" s="78">
        <v>12.0</v>
      </c>
      <c r="B10" s="79" t="s">
        <v>117</v>
      </c>
      <c r="C10" s="80" t="s">
        <v>118</v>
      </c>
      <c r="D10" s="79" t="s">
        <v>114</v>
      </c>
      <c r="E10" s="79" t="s">
        <v>114</v>
      </c>
      <c r="F10" s="79">
        <v>2.0</v>
      </c>
      <c r="G10" s="79">
        <v>4.0</v>
      </c>
      <c r="H10" s="80" t="s">
        <v>119</v>
      </c>
    </row>
    <row r="11">
      <c r="A11" s="78">
        <v>13.0</v>
      </c>
      <c r="B11" s="81" t="s">
        <v>117</v>
      </c>
      <c r="C11" s="82" t="s">
        <v>120</v>
      </c>
      <c r="D11" s="81" t="s">
        <v>116</v>
      </c>
      <c r="E11" s="81" t="s">
        <v>116</v>
      </c>
      <c r="F11" s="81">
        <v>2.0</v>
      </c>
      <c r="G11" s="81">
        <v>4.0</v>
      </c>
      <c r="H11" s="82" t="s">
        <v>119</v>
      </c>
    </row>
    <row r="12">
      <c r="A12" s="78">
        <v>14.0</v>
      </c>
      <c r="B12" s="79" t="s">
        <v>117</v>
      </c>
      <c r="C12" s="80" t="s">
        <v>121</v>
      </c>
      <c r="D12" s="79" t="s">
        <v>122</v>
      </c>
      <c r="E12" s="79" t="s">
        <v>122</v>
      </c>
      <c r="F12" s="79">
        <v>2.0</v>
      </c>
      <c r="G12" s="79">
        <v>4.0</v>
      </c>
      <c r="H12" s="80" t="s">
        <v>61</v>
      </c>
    </row>
    <row r="13">
      <c r="A13" s="78">
        <v>16.0</v>
      </c>
      <c r="B13" s="81" t="s">
        <v>123</v>
      </c>
      <c r="C13" s="82" t="s">
        <v>124</v>
      </c>
      <c r="D13" s="81" t="s">
        <v>125</v>
      </c>
      <c r="E13" s="81" t="s">
        <v>125</v>
      </c>
      <c r="F13" s="81">
        <v>2.0</v>
      </c>
      <c r="G13" s="81">
        <v>4.0</v>
      </c>
      <c r="H13" s="82" t="s">
        <v>61</v>
      </c>
    </row>
    <row r="14">
      <c r="A14" s="78">
        <v>17.0</v>
      </c>
      <c r="B14" s="79" t="s">
        <v>123</v>
      </c>
      <c r="C14" s="80" t="s">
        <v>126</v>
      </c>
      <c r="D14" s="79" t="s">
        <v>127</v>
      </c>
      <c r="E14" s="79" t="s">
        <v>127</v>
      </c>
      <c r="F14" s="79">
        <v>2.0</v>
      </c>
      <c r="G14" s="79">
        <v>4.0</v>
      </c>
      <c r="H14" s="80" t="s">
        <v>61</v>
      </c>
    </row>
    <row r="15">
      <c r="A15" s="78">
        <v>18.0</v>
      </c>
      <c r="B15" s="81" t="s">
        <v>123</v>
      </c>
      <c r="C15" s="82" t="s">
        <v>128</v>
      </c>
      <c r="D15" s="81" t="s">
        <v>129</v>
      </c>
      <c r="E15" s="81" t="s">
        <v>130</v>
      </c>
      <c r="F15" s="81">
        <v>4.0</v>
      </c>
      <c r="G15" s="81">
        <v>8.0</v>
      </c>
      <c r="H15" s="82" t="s">
        <v>61</v>
      </c>
    </row>
    <row r="16">
      <c r="A16" s="83">
        <v>20.0</v>
      </c>
      <c r="B16" s="79" t="s">
        <v>131</v>
      </c>
      <c r="C16" s="80" t="s">
        <v>132</v>
      </c>
      <c r="D16" s="79" t="s">
        <v>133</v>
      </c>
      <c r="E16" s="79" t="s">
        <v>52</v>
      </c>
      <c r="F16" s="79">
        <v>6.0</v>
      </c>
      <c r="G16" s="79">
        <v>12.0</v>
      </c>
      <c r="H16" s="80" t="s">
        <v>61</v>
      </c>
    </row>
    <row r="17">
      <c r="A17" s="83">
        <v>21.0</v>
      </c>
      <c r="B17" s="81" t="s">
        <v>131</v>
      </c>
      <c r="C17" s="82" t="s">
        <v>134</v>
      </c>
      <c r="D17" s="81" t="s">
        <v>133</v>
      </c>
      <c r="E17" s="81" t="s">
        <v>52</v>
      </c>
      <c r="F17" s="81">
        <v>4.0</v>
      </c>
      <c r="G17" s="81">
        <v>8.0</v>
      </c>
      <c r="H17" s="82" t="s">
        <v>61</v>
      </c>
    </row>
    <row r="18">
      <c r="A18" s="83">
        <v>22.0</v>
      </c>
      <c r="B18" s="79" t="s">
        <v>131</v>
      </c>
      <c r="C18" s="80" t="s">
        <v>135</v>
      </c>
      <c r="D18" s="79" t="s">
        <v>133</v>
      </c>
      <c r="E18" s="79" t="s">
        <v>136</v>
      </c>
      <c r="F18" s="79">
        <v>2.0</v>
      </c>
      <c r="G18" s="79">
        <v>4.0</v>
      </c>
      <c r="H18" s="80" t="s">
        <v>61</v>
      </c>
    </row>
    <row r="19">
      <c r="A19" s="83">
        <v>24.0</v>
      </c>
      <c r="B19" s="81" t="s">
        <v>137</v>
      </c>
      <c r="C19" s="82" t="s">
        <v>138</v>
      </c>
      <c r="D19" s="81" t="s">
        <v>139</v>
      </c>
      <c r="E19" s="81" t="s">
        <v>140</v>
      </c>
      <c r="F19" s="81">
        <v>3.0</v>
      </c>
      <c r="G19" s="81">
        <v>6.0</v>
      </c>
      <c r="H19" s="82" t="s">
        <v>61</v>
      </c>
    </row>
    <row r="20">
      <c r="A20" s="83">
        <v>25.0</v>
      </c>
      <c r="B20" s="79" t="s">
        <v>137</v>
      </c>
      <c r="C20" s="80" t="s">
        <v>141</v>
      </c>
      <c r="D20" s="79" t="s">
        <v>142</v>
      </c>
      <c r="E20" s="79" t="s">
        <v>142</v>
      </c>
      <c r="F20" s="79">
        <v>2.0</v>
      </c>
      <c r="G20" s="79">
        <v>4.0</v>
      </c>
      <c r="H20" s="80" t="s">
        <v>61</v>
      </c>
    </row>
    <row r="21" ht="15.75" customHeight="1">
      <c r="A21" s="83">
        <v>26.0</v>
      </c>
      <c r="B21" s="81" t="s">
        <v>137</v>
      </c>
      <c r="C21" s="82" t="s">
        <v>143</v>
      </c>
      <c r="D21" s="81" t="s">
        <v>52</v>
      </c>
      <c r="E21" s="81" t="s">
        <v>52</v>
      </c>
      <c r="F21" s="81">
        <v>1.0</v>
      </c>
      <c r="G21" s="81">
        <v>2.0</v>
      </c>
      <c r="H21" s="82" t="s">
        <v>107</v>
      </c>
    </row>
    <row r="22" ht="15.75" customHeight="1">
      <c r="A22" s="77" t="s">
        <v>144</v>
      </c>
      <c r="B22" s="2"/>
      <c r="C22" s="2"/>
      <c r="D22" s="2"/>
      <c r="E22" s="2"/>
      <c r="F22" s="2"/>
      <c r="G22" s="2"/>
      <c r="H22" s="3"/>
    </row>
    <row r="23" ht="15.75" customHeight="1">
      <c r="A23" s="78">
        <v>29.0</v>
      </c>
      <c r="B23" s="81" t="s">
        <v>145</v>
      </c>
      <c r="C23" s="82" t="s">
        <v>146</v>
      </c>
      <c r="D23" s="81" t="s">
        <v>133</v>
      </c>
      <c r="E23" s="81" t="s">
        <v>147</v>
      </c>
      <c r="F23" s="81">
        <v>6.0</v>
      </c>
      <c r="G23" s="81">
        <v>12.0</v>
      </c>
      <c r="H23" s="82" t="s">
        <v>148</v>
      </c>
    </row>
    <row r="24" ht="15.75" customHeight="1">
      <c r="A24" s="78">
        <v>30.0</v>
      </c>
      <c r="B24" s="79" t="s">
        <v>145</v>
      </c>
      <c r="C24" s="80" t="s">
        <v>149</v>
      </c>
      <c r="D24" s="79" t="s">
        <v>42</v>
      </c>
      <c r="E24" s="79" t="s">
        <v>150</v>
      </c>
      <c r="F24" s="79">
        <v>3.0</v>
      </c>
      <c r="G24" s="79">
        <v>6.0</v>
      </c>
      <c r="H24" s="80" t="s">
        <v>119</v>
      </c>
    </row>
    <row r="25" ht="15.75" customHeight="1">
      <c r="A25" s="78">
        <v>31.0</v>
      </c>
      <c r="B25" s="81" t="s">
        <v>145</v>
      </c>
      <c r="C25" s="82" t="s">
        <v>151</v>
      </c>
      <c r="D25" s="81" t="s">
        <v>152</v>
      </c>
      <c r="E25" s="81" t="s">
        <v>153</v>
      </c>
      <c r="F25" s="81">
        <v>3.0</v>
      </c>
      <c r="G25" s="81">
        <v>6.0</v>
      </c>
      <c r="H25" s="82" t="s">
        <v>148</v>
      </c>
    </row>
    <row r="26" ht="15.75" customHeight="1">
      <c r="A26" s="78">
        <v>33.0</v>
      </c>
      <c r="B26" s="79" t="s">
        <v>154</v>
      </c>
      <c r="C26" s="80" t="s">
        <v>155</v>
      </c>
      <c r="D26" s="79" t="s">
        <v>156</v>
      </c>
      <c r="E26" s="79" t="s">
        <v>156</v>
      </c>
      <c r="F26" s="79">
        <v>1.0</v>
      </c>
      <c r="G26" s="79">
        <v>8.0</v>
      </c>
      <c r="H26" s="80" t="s">
        <v>157</v>
      </c>
    </row>
    <row r="27" ht="15.75" customHeight="1">
      <c r="A27" s="78">
        <v>34.0</v>
      </c>
      <c r="B27" s="81" t="s">
        <v>154</v>
      </c>
      <c r="C27" s="82" t="s">
        <v>158</v>
      </c>
      <c r="D27" s="81" t="s">
        <v>159</v>
      </c>
      <c r="E27" s="81" t="s">
        <v>159</v>
      </c>
      <c r="F27" s="81">
        <v>1.0</v>
      </c>
      <c r="G27" s="81">
        <v>8.0</v>
      </c>
      <c r="H27" s="82" t="s">
        <v>157</v>
      </c>
    </row>
    <row r="28" ht="15.75" customHeight="1">
      <c r="A28" s="78">
        <v>35.0</v>
      </c>
      <c r="B28" s="79" t="s">
        <v>154</v>
      </c>
      <c r="C28" s="80" t="s">
        <v>160</v>
      </c>
      <c r="D28" s="79" t="s">
        <v>161</v>
      </c>
      <c r="E28" s="79" t="s">
        <v>161</v>
      </c>
      <c r="F28" s="79">
        <v>1.0</v>
      </c>
      <c r="G28" s="79">
        <v>8.0</v>
      </c>
      <c r="H28" s="80" t="s">
        <v>162</v>
      </c>
    </row>
    <row r="29" ht="15.75" customHeight="1">
      <c r="A29" s="78">
        <v>37.0</v>
      </c>
      <c r="B29" s="81" t="s">
        <v>163</v>
      </c>
      <c r="C29" s="82" t="s">
        <v>164</v>
      </c>
      <c r="D29" s="81" t="s">
        <v>165</v>
      </c>
      <c r="E29" s="81" t="s">
        <v>165</v>
      </c>
      <c r="F29" s="81">
        <v>2.0</v>
      </c>
      <c r="G29" s="81">
        <v>12.0</v>
      </c>
      <c r="H29" s="82" t="s">
        <v>166</v>
      </c>
    </row>
    <row r="30" ht="15.75" customHeight="1">
      <c r="A30" s="78">
        <v>38.0</v>
      </c>
      <c r="B30" s="79" t="s">
        <v>163</v>
      </c>
      <c r="C30" s="80" t="s">
        <v>167</v>
      </c>
      <c r="D30" s="79" t="s">
        <v>168</v>
      </c>
      <c r="E30" s="79" t="s">
        <v>168</v>
      </c>
      <c r="F30" s="79">
        <v>1.0</v>
      </c>
      <c r="G30" s="79">
        <v>8.0</v>
      </c>
      <c r="H30" s="80" t="s">
        <v>166</v>
      </c>
    </row>
    <row r="31" ht="15.75" customHeight="1">
      <c r="A31" s="78">
        <v>39.0</v>
      </c>
      <c r="B31" s="81" t="s">
        <v>163</v>
      </c>
      <c r="C31" s="82" t="s">
        <v>169</v>
      </c>
      <c r="D31" s="81" t="s">
        <v>165</v>
      </c>
      <c r="E31" s="81" t="s">
        <v>165</v>
      </c>
      <c r="F31" s="81">
        <v>1.0</v>
      </c>
      <c r="G31" s="81">
        <v>8.0</v>
      </c>
      <c r="H31" s="82" t="s">
        <v>170</v>
      </c>
    </row>
    <row r="32" ht="15.75" customHeight="1">
      <c r="A32" s="78">
        <v>41.0</v>
      </c>
      <c r="B32" s="79" t="s">
        <v>171</v>
      </c>
      <c r="C32" s="80" t="s">
        <v>172</v>
      </c>
      <c r="D32" s="79" t="s">
        <v>173</v>
      </c>
      <c r="E32" s="79" t="s">
        <v>173</v>
      </c>
      <c r="F32" s="79">
        <v>1.0</v>
      </c>
      <c r="G32" s="79">
        <v>8.0</v>
      </c>
      <c r="H32" s="80" t="s">
        <v>157</v>
      </c>
    </row>
    <row r="33" ht="15.75" customHeight="1">
      <c r="A33" s="78">
        <v>42.0</v>
      </c>
      <c r="B33" s="81" t="s">
        <v>171</v>
      </c>
      <c r="C33" s="82" t="s">
        <v>174</v>
      </c>
      <c r="D33" s="81" t="s">
        <v>175</v>
      </c>
      <c r="E33" s="81" t="s">
        <v>175</v>
      </c>
      <c r="F33" s="81">
        <v>1.0</v>
      </c>
      <c r="G33" s="81">
        <v>4.0</v>
      </c>
      <c r="H33" s="82" t="s">
        <v>166</v>
      </c>
    </row>
    <row r="34" ht="15.75" customHeight="1">
      <c r="A34" s="78">
        <v>43.0</v>
      </c>
      <c r="B34" s="79" t="s">
        <v>171</v>
      </c>
      <c r="C34" s="80" t="s">
        <v>176</v>
      </c>
      <c r="D34" s="79" t="s">
        <v>175</v>
      </c>
      <c r="E34" s="79" t="s">
        <v>175</v>
      </c>
      <c r="F34" s="79">
        <v>1.0</v>
      </c>
      <c r="G34" s="79">
        <v>4.0</v>
      </c>
      <c r="H34" s="80" t="s">
        <v>177</v>
      </c>
    </row>
    <row r="35" ht="15.75" customHeight="1">
      <c r="A35" s="78">
        <v>45.0</v>
      </c>
      <c r="B35" s="81" t="s">
        <v>178</v>
      </c>
      <c r="C35" s="82" t="s">
        <v>179</v>
      </c>
      <c r="D35" s="81" t="s">
        <v>180</v>
      </c>
      <c r="E35" s="81" t="s">
        <v>180</v>
      </c>
      <c r="F35" s="81">
        <v>1.0</v>
      </c>
      <c r="G35" s="81">
        <v>2.0</v>
      </c>
      <c r="H35" s="82" t="s">
        <v>112</v>
      </c>
    </row>
    <row r="36" ht="15.75" customHeight="1">
      <c r="A36" s="78">
        <v>46.0</v>
      </c>
      <c r="B36" s="79" t="s">
        <v>178</v>
      </c>
      <c r="C36" s="80" t="s">
        <v>181</v>
      </c>
      <c r="D36" s="79" t="s">
        <v>182</v>
      </c>
      <c r="E36" s="79" t="s">
        <v>182</v>
      </c>
      <c r="F36" s="79">
        <v>1.0</v>
      </c>
      <c r="G36" s="79">
        <v>2.0</v>
      </c>
      <c r="H36" s="80" t="s">
        <v>61</v>
      </c>
    </row>
    <row r="37" ht="15.75" customHeight="1">
      <c r="A37" s="77" t="s">
        <v>183</v>
      </c>
      <c r="B37" s="2"/>
      <c r="C37" s="2"/>
      <c r="D37" s="2"/>
      <c r="E37" s="2"/>
      <c r="F37" s="2"/>
      <c r="G37" s="2"/>
      <c r="H37" s="3"/>
    </row>
    <row r="38" ht="15.75" customHeight="1">
      <c r="A38" s="78">
        <v>49.0</v>
      </c>
      <c r="B38" s="79" t="s">
        <v>184</v>
      </c>
      <c r="C38" s="80" t="s">
        <v>185</v>
      </c>
      <c r="D38" s="79" t="s">
        <v>186</v>
      </c>
      <c r="E38" s="79" t="s">
        <v>187</v>
      </c>
      <c r="F38" s="79">
        <v>3.0</v>
      </c>
      <c r="G38" s="79">
        <v>24.0</v>
      </c>
      <c r="H38" s="80" t="s">
        <v>166</v>
      </c>
    </row>
    <row r="39" ht="15.75" customHeight="1">
      <c r="A39" s="78">
        <v>50.0</v>
      </c>
      <c r="B39" s="81" t="s">
        <v>184</v>
      </c>
      <c r="C39" s="82" t="s">
        <v>188</v>
      </c>
      <c r="D39" s="81" t="s">
        <v>189</v>
      </c>
      <c r="E39" s="81" t="s">
        <v>189</v>
      </c>
      <c r="F39" s="81">
        <v>2.0</v>
      </c>
      <c r="G39" s="81">
        <v>20.0</v>
      </c>
      <c r="H39" s="82" t="s">
        <v>166</v>
      </c>
    </row>
    <row r="40" ht="15.75" customHeight="1">
      <c r="A40" s="78">
        <v>51.0</v>
      </c>
      <c r="B40" s="79" t="s">
        <v>184</v>
      </c>
      <c r="C40" s="80" t="s">
        <v>190</v>
      </c>
      <c r="D40" s="79" t="s">
        <v>191</v>
      </c>
      <c r="E40" s="79" t="s">
        <v>191</v>
      </c>
      <c r="F40" s="79">
        <v>2.0</v>
      </c>
      <c r="G40" s="79">
        <v>16.0</v>
      </c>
      <c r="H40" s="80" t="s">
        <v>166</v>
      </c>
    </row>
    <row r="41" ht="15.75" customHeight="1">
      <c r="A41" s="78">
        <v>53.0</v>
      </c>
      <c r="B41" s="81" t="s">
        <v>192</v>
      </c>
      <c r="C41" s="82" t="s">
        <v>193</v>
      </c>
      <c r="D41" s="81" t="s">
        <v>194</v>
      </c>
      <c r="E41" s="81" t="s">
        <v>195</v>
      </c>
      <c r="F41" s="81">
        <v>4.0</v>
      </c>
      <c r="G41" s="81">
        <v>32.0</v>
      </c>
      <c r="H41" s="82" t="s">
        <v>166</v>
      </c>
    </row>
    <row r="42" ht="15.75" customHeight="1">
      <c r="A42" s="78">
        <v>54.0</v>
      </c>
      <c r="B42" s="79" t="s">
        <v>192</v>
      </c>
      <c r="C42" s="80" t="s">
        <v>196</v>
      </c>
      <c r="D42" s="79" t="s">
        <v>197</v>
      </c>
      <c r="E42" s="79" t="s">
        <v>197</v>
      </c>
      <c r="F42" s="79">
        <v>2.0</v>
      </c>
      <c r="G42" s="79">
        <v>16.0</v>
      </c>
      <c r="H42" s="80" t="s">
        <v>166</v>
      </c>
    </row>
    <row r="43" ht="15.75" customHeight="1">
      <c r="A43" s="78">
        <v>55.0</v>
      </c>
      <c r="B43" s="81" t="s">
        <v>192</v>
      </c>
      <c r="C43" s="82" t="s">
        <v>198</v>
      </c>
      <c r="D43" s="81" t="s">
        <v>197</v>
      </c>
      <c r="E43" s="81" t="s">
        <v>197</v>
      </c>
      <c r="F43" s="81">
        <v>2.0</v>
      </c>
      <c r="G43" s="81">
        <v>16.0</v>
      </c>
      <c r="H43" s="82" t="s">
        <v>170</v>
      </c>
    </row>
    <row r="44" ht="15.75" customHeight="1">
      <c r="A44" s="78">
        <v>56.0</v>
      </c>
      <c r="B44" s="79" t="s">
        <v>192</v>
      </c>
      <c r="C44" s="80" t="s">
        <v>199</v>
      </c>
      <c r="D44" s="79" t="s">
        <v>200</v>
      </c>
      <c r="E44" s="79" t="s">
        <v>200</v>
      </c>
      <c r="F44" s="79">
        <v>2.0</v>
      </c>
      <c r="G44" s="79">
        <v>20.0</v>
      </c>
      <c r="H44" s="80" t="s">
        <v>170</v>
      </c>
    </row>
    <row r="45" ht="15.75" customHeight="1">
      <c r="A45" s="78">
        <v>57.0</v>
      </c>
      <c r="B45" s="81" t="s">
        <v>192</v>
      </c>
      <c r="C45" s="82" t="s">
        <v>201</v>
      </c>
      <c r="D45" s="81" t="s">
        <v>200</v>
      </c>
      <c r="E45" s="81" t="s">
        <v>200</v>
      </c>
      <c r="F45" s="81">
        <v>2.0</v>
      </c>
      <c r="G45" s="81">
        <v>16.0</v>
      </c>
      <c r="H45" s="82" t="s">
        <v>166</v>
      </c>
    </row>
    <row r="46" ht="15.75" customHeight="1">
      <c r="A46" s="78">
        <v>59.0</v>
      </c>
      <c r="B46" s="79" t="s">
        <v>202</v>
      </c>
      <c r="C46" s="80" t="s">
        <v>203</v>
      </c>
      <c r="D46" s="79" t="s">
        <v>204</v>
      </c>
      <c r="E46" s="79" t="s">
        <v>205</v>
      </c>
      <c r="F46" s="79">
        <v>3.0</v>
      </c>
      <c r="G46" s="79">
        <v>24.0</v>
      </c>
      <c r="H46" s="80" t="s">
        <v>170</v>
      </c>
    </row>
    <row r="47" ht="15.75" customHeight="1">
      <c r="A47" s="78">
        <v>60.0</v>
      </c>
      <c r="B47" s="81" t="s">
        <v>202</v>
      </c>
      <c r="C47" s="82" t="s">
        <v>206</v>
      </c>
      <c r="D47" s="81" t="s">
        <v>207</v>
      </c>
      <c r="E47" s="81" t="s">
        <v>207</v>
      </c>
      <c r="F47" s="81">
        <v>2.0</v>
      </c>
      <c r="G47" s="81">
        <v>20.0</v>
      </c>
      <c r="H47" s="82" t="s">
        <v>170</v>
      </c>
    </row>
    <row r="48" ht="15.75" customHeight="1">
      <c r="A48" s="78">
        <v>61.0</v>
      </c>
      <c r="B48" s="79" t="s">
        <v>202</v>
      </c>
      <c r="C48" s="80" t="s">
        <v>208</v>
      </c>
      <c r="D48" s="79" t="s">
        <v>209</v>
      </c>
      <c r="E48" s="79" t="s">
        <v>209</v>
      </c>
      <c r="F48" s="79">
        <v>2.0</v>
      </c>
      <c r="G48" s="79">
        <v>16.0</v>
      </c>
      <c r="H48" s="80" t="s">
        <v>170</v>
      </c>
    </row>
    <row r="49" ht="15.75" customHeight="1">
      <c r="A49" s="78">
        <v>63.0</v>
      </c>
      <c r="B49" s="81" t="s">
        <v>210</v>
      </c>
      <c r="C49" s="82" t="s">
        <v>211</v>
      </c>
      <c r="D49" s="81" t="s">
        <v>212</v>
      </c>
      <c r="E49" s="81" t="s">
        <v>213</v>
      </c>
      <c r="F49" s="81">
        <v>3.0</v>
      </c>
      <c r="G49" s="81">
        <v>24.0</v>
      </c>
      <c r="H49" s="82" t="s">
        <v>170</v>
      </c>
    </row>
    <row r="50" ht="15.75" customHeight="1">
      <c r="A50" s="78">
        <v>64.0</v>
      </c>
      <c r="B50" s="79" t="s">
        <v>210</v>
      </c>
      <c r="C50" s="80" t="s">
        <v>214</v>
      </c>
      <c r="D50" s="79" t="s">
        <v>215</v>
      </c>
      <c r="E50" s="79" t="s">
        <v>215</v>
      </c>
      <c r="F50" s="79">
        <v>2.0</v>
      </c>
      <c r="G50" s="79">
        <v>20.0</v>
      </c>
      <c r="H50" s="80" t="s">
        <v>170</v>
      </c>
    </row>
    <row r="51" ht="15.75" customHeight="1">
      <c r="A51" s="78">
        <v>65.0</v>
      </c>
      <c r="B51" s="81" t="s">
        <v>210</v>
      </c>
      <c r="C51" s="82" t="s">
        <v>216</v>
      </c>
      <c r="D51" s="81" t="s">
        <v>217</v>
      </c>
      <c r="E51" s="81" t="s">
        <v>217</v>
      </c>
      <c r="F51" s="81">
        <v>2.0</v>
      </c>
      <c r="G51" s="81">
        <v>16.0</v>
      </c>
      <c r="H51" s="82" t="s">
        <v>170</v>
      </c>
    </row>
    <row r="52" ht="15.75" customHeight="1">
      <c r="A52" s="78">
        <v>66.0</v>
      </c>
      <c r="B52" s="79" t="s">
        <v>210</v>
      </c>
      <c r="C52" s="80" t="s">
        <v>218</v>
      </c>
      <c r="D52" s="79" t="s">
        <v>219</v>
      </c>
      <c r="E52" s="79" t="s">
        <v>219</v>
      </c>
      <c r="F52" s="79">
        <v>2.0</v>
      </c>
      <c r="G52" s="79">
        <v>16.0</v>
      </c>
      <c r="H52" s="80" t="s">
        <v>170</v>
      </c>
    </row>
    <row r="53" ht="15.75" customHeight="1">
      <c r="A53" s="78">
        <v>68.0</v>
      </c>
      <c r="B53" s="81" t="s">
        <v>220</v>
      </c>
      <c r="C53" s="82" t="s">
        <v>221</v>
      </c>
      <c r="D53" s="81" t="s">
        <v>204</v>
      </c>
      <c r="E53" s="81" t="s">
        <v>207</v>
      </c>
      <c r="F53" s="81">
        <v>4.0</v>
      </c>
      <c r="G53" s="81">
        <v>28.0</v>
      </c>
      <c r="H53" s="82" t="s">
        <v>222</v>
      </c>
    </row>
    <row r="54" ht="15.75" customHeight="1">
      <c r="A54" s="78">
        <v>69.0</v>
      </c>
      <c r="B54" s="79" t="s">
        <v>220</v>
      </c>
      <c r="C54" s="80" t="s">
        <v>223</v>
      </c>
      <c r="D54" s="79" t="s">
        <v>209</v>
      </c>
      <c r="E54" s="79" t="s">
        <v>213</v>
      </c>
      <c r="F54" s="79">
        <v>4.0</v>
      </c>
      <c r="G54" s="79">
        <v>28.0</v>
      </c>
      <c r="H54" s="80" t="s">
        <v>222</v>
      </c>
    </row>
    <row r="55" ht="15.75" customHeight="1">
      <c r="A55" s="78">
        <v>70.0</v>
      </c>
      <c r="B55" s="81" t="s">
        <v>220</v>
      </c>
      <c r="C55" s="82" t="s">
        <v>224</v>
      </c>
      <c r="D55" s="81" t="s">
        <v>215</v>
      </c>
      <c r="E55" s="81" t="s">
        <v>215</v>
      </c>
      <c r="F55" s="81">
        <v>2.0</v>
      </c>
      <c r="G55" s="81">
        <v>14.0</v>
      </c>
      <c r="H55" s="82" t="s">
        <v>222</v>
      </c>
    </row>
    <row r="56" ht="15.75" customHeight="1">
      <c r="A56" s="78">
        <v>72.0</v>
      </c>
      <c r="B56" s="79" t="s">
        <v>225</v>
      </c>
      <c r="C56" s="80" t="s">
        <v>226</v>
      </c>
      <c r="D56" s="79" t="s">
        <v>217</v>
      </c>
      <c r="E56" s="79" t="s">
        <v>217</v>
      </c>
      <c r="F56" s="79">
        <v>2.0</v>
      </c>
      <c r="G56" s="79">
        <v>20.0</v>
      </c>
      <c r="H56" s="80" t="s">
        <v>222</v>
      </c>
    </row>
    <row r="57" ht="15.75" customHeight="1">
      <c r="A57" s="78">
        <v>73.0</v>
      </c>
      <c r="B57" s="81" t="s">
        <v>225</v>
      </c>
      <c r="C57" s="82" t="s">
        <v>227</v>
      </c>
      <c r="D57" s="81" t="s">
        <v>219</v>
      </c>
      <c r="E57" s="81" t="s">
        <v>219</v>
      </c>
      <c r="F57" s="81">
        <v>2.0</v>
      </c>
      <c r="G57" s="81">
        <v>20.0</v>
      </c>
      <c r="H57" s="82" t="s">
        <v>222</v>
      </c>
    </row>
    <row r="58" ht="15.75" customHeight="1">
      <c r="A58" s="78">
        <v>74.0</v>
      </c>
      <c r="B58" s="79" t="s">
        <v>225</v>
      </c>
      <c r="C58" s="80" t="s">
        <v>228</v>
      </c>
      <c r="D58" s="79" t="s">
        <v>229</v>
      </c>
      <c r="E58" s="79" t="s">
        <v>230</v>
      </c>
      <c r="F58" s="79">
        <v>4.0</v>
      </c>
      <c r="G58" s="79">
        <v>28.0</v>
      </c>
      <c r="H58" s="80" t="s">
        <v>231</v>
      </c>
    </row>
    <row r="59" ht="15.75" customHeight="1">
      <c r="A59" s="78">
        <v>76.0</v>
      </c>
      <c r="B59" s="81" t="s">
        <v>232</v>
      </c>
      <c r="C59" s="82" t="s">
        <v>233</v>
      </c>
      <c r="D59" s="81" t="s">
        <v>234</v>
      </c>
      <c r="E59" s="81" t="s">
        <v>235</v>
      </c>
      <c r="F59" s="81">
        <v>4.0</v>
      </c>
      <c r="G59" s="81">
        <v>28.0</v>
      </c>
      <c r="H59" s="82" t="s">
        <v>166</v>
      </c>
    </row>
    <row r="60" ht="15.75" customHeight="1">
      <c r="A60" s="83">
        <v>77.0</v>
      </c>
      <c r="B60" s="79" t="s">
        <v>232</v>
      </c>
      <c r="C60" s="80" t="s">
        <v>236</v>
      </c>
      <c r="D60" s="79" t="s">
        <v>237</v>
      </c>
      <c r="E60" s="79" t="s">
        <v>238</v>
      </c>
      <c r="F60" s="79">
        <v>4.0</v>
      </c>
      <c r="G60" s="79">
        <v>28.0</v>
      </c>
      <c r="H60" s="80" t="s">
        <v>166</v>
      </c>
    </row>
    <row r="61" ht="15.75" customHeight="1">
      <c r="A61" s="83">
        <v>78.0</v>
      </c>
      <c r="B61" s="81" t="s">
        <v>232</v>
      </c>
      <c r="C61" s="82" t="s">
        <v>239</v>
      </c>
      <c r="D61" s="81" t="s">
        <v>237</v>
      </c>
      <c r="E61" s="81" t="s">
        <v>238</v>
      </c>
      <c r="F61" s="81">
        <v>4.0</v>
      </c>
      <c r="G61" s="81">
        <v>28.0</v>
      </c>
      <c r="H61" s="82" t="s">
        <v>170</v>
      </c>
    </row>
    <row r="62" ht="15.75" customHeight="1">
      <c r="A62" s="77" t="s">
        <v>240</v>
      </c>
      <c r="B62" s="2"/>
      <c r="C62" s="2"/>
      <c r="D62" s="2"/>
      <c r="E62" s="2"/>
      <c r="F62" s="2"/>
      <c r="G62" s="2"/>
      <c r="H62" s="3"/>
    </row>
    <row r="63" ht="15.75" customHeight="1">
      <c r="A63" s="83">
        <v>81.0</v>
      </c>
      <c r="B63" s="81" t="s">
        <v>241</v>
      </c>
      <c r="C63" s="82" t="s">
        <v>242</v>
      </c>
      <c r="D63" s="81" t="s">
        <v>243</v>
      </c>
      <c r="E63" s="81" t="s">
        <v>243</v>
      </c>
      <c r="F63" s="81">
        <v>2.0</v>
      </c>
      <c r="G63" s="81">
        <v>40.0</v>
      </c>
      <c r="H63" s="82" t="s">
        <v>157</v>
      </c>
    </row>
    <row r="64" ht="15.75" customHeight="1">
      <c r="A64" s="83">
        <v>82.0</v>
      </c>
      <c r="B64" s="79" t="s">
        <v>241</v>
      </c>
      <c r="C64" s="80" t="s">
        <v>244</v>
      </c>
      <c r="D64" s="79" t="s">
        <v>245</v>
      </c>
      <c r="E64" s="79" t="s">
        <v>245</v>
      </c>
      <c r="F64" s="79">
        <v>2.0</v>
      </c>
      <c r="G64" s="79">
        <v>16.0</v>
      </c>
      <c r="H64" s="80" t="s">
        <v>170</v>
      </c>
    </row>
    <row r="65" ht="15.75" customHeight="1">
      <c r="A65" s="83">
        <v>83.0</v>
      </c>
      <c r="B65" s="81" t="s">
        <v>241</v>
      </c>
      <c r="C65" s="82" t="s">
        <v>246</v>
      </c>
      <c r="D65" s="81" t="s">
        <v>245</v>
      </c>
      <c r="E65" s="81" t="s">
        <v>245</v>
      </c>
      <c r="F65" s="81">
        <v>2.0</v>
      </c>
      <c r="G65" s="81">
        <v>16.0</v>
      </c>
      <c r="H65" s="82" t="s">
        <v>166</v>
      </c>
    </row>
    <row r="66" ht="15.75" customHeight="1">
      <c r="A66" s="83">
        <v>85.0</v>
      </c>
      <c r="B66" s="79" t="s">
        <v>247</v>
      </c>
      <c r="C66" s="80" t="s">
        <v>248</v>
      </c>
      <c r="D66" s="79" t="s">
        <v>249</v>
      </c>
      <c r="E66" s="79" t="s">
        <v>249</v>
      </c>
      <c r="F66" s="79">
        <v>2.0</v>
      </c>
      <c r="G66" s="79">
        <v>4.0</v>
      </c>
      <c r="H66" s="80" t="s">
        <v>61</v>
      </c>
    </row>
    <row r="67" ht="15.75" customHeight="1">
      <c r="A67" s="83">
        <v>86.0</v>
      </c>
      <c r="B67" s="81" t="s">
        <v>247</v>
      </c>
      <c r="C67" s="82" t="s">
        <v>250</v>
      </c>
      <c r="D67" s="81" t="s">
        <v>251</v>
      </c>
      <c r="E67" s="81" t="s">
        <v>251</v>
      </c>
      <c r="F67" s="81">
        <v>1.0</v>
      </c>
      <c r="G67" s="81">
        <v>28.0</v>
      </c>
      <c r="H67" s="82" t="s">
        <v>252</v>
      </c>
    </row>
    <row r="68" ht="15.75" customHeight="1">
      <c r="A68" s="83">
        <v>87.0</v>
      </c>
      <c r="B68" s="79" t="s">
        <v>247</v>
      </c>
      <c r="C68" s="80" t="s">
        <v>253</v>
      </c>
      <c r="D68" s="79" t="s">
        <v>254</v>
      </c>
      <c r="E68" s="79" t="s">
        <v>254</v>
      </c>
      <c r="F68" s="79">
        <v>2.0</v>
      </c>
      <c r="G68" s="79">
        <v>4.0</v>
      </c>
      <c r="H68" s="80" t="s">
        <v>61</v>
      </c>
    </row>
    <row r="69" ht="15.75" customHeight="1">
      <c r="A69" s="83">
        <v>89.0</v>
      </c>
      <c r="B69" s="81" t="s">
        <v>255</v>
      </c>
      <c r="C69" s="82" t="s">
        <v>256</v>
      </c>
      <c r="D69" s="81" t="s">
        <v>257</v>
      </c>
      <c r="E69" s="81" t="s">
        <v>49</v>
      </c>
      <c r="F69" s="81">
        <v>4.0</v>
      </c>
      <c r="G69" s="81">
        <v>8.0</v>
      </c>
      <c r="H69" s="82" t="s">
        <v>61</v>
      </c>
    </row>
    <row r="70" ht="15.75" customHeight="1">
      <c r="A70" s="83">
        <v>90.0</v>
      </c>
      <c r="B70" s="79" t="s">
        <v>255</v>
      </c>
      <c r="C70" s="80" t="s">
        <v>258</v>
      </c>
      <c r="D70" s="79" t="s">
        <v>259</v>
      </c>
      <c r="E70" s="79" t="s">
        <v>260</v>
      </c>
      <c r="F70" s="79">
        <v>4.0</v>
      </c>
      <c r="G70" s="79">
        <v>8.0</v>
      </c>
      <c r="H70" s="80" t="s">
        <v>61</v>
      </c>
    </row>
    <row r="71" ht="15.75" customHeight="1">
      <c r="A71" s="83">
        <v>92.0</v>
      </c>
      <c r="B71" s="81" t="s">
        <v>261</v>
      </c>
      <c r="C71" s="82" t="s">
        <v>262</v>
      </c>
      <c r="D71" s="81" t="s">
        <v>254</v>
      </c>
      <c r="E71" s="81" t="s">
        <v>263</v>
      </c>
      <c r="F71" s="81">
        <v>4.0</v>
      </c>
      <c r="G71" s="81">
        <v>28.0</v>
      </c>
      <c r="H71" s="82" t="s">
        <v>222</v>
      </c>
    </row>
    <row r="72" ht="15.75" customHeight="1">
      <c r="A72" s="83">
        <v>93.0</v>
      </c>
      <c r="B72" s="79" t="s">
        <v>261</v>
      </c>
      <c r="C72" s="80" t="s">
        <v>264</v>
      </c>
      <c r="D72" s="79" t="s">
        <v>49</v>
      </c>
      <c r="E72" s="79" t="s">
        <v>49</v>
      </c>
      <c r="F72" s="79">
        <v>2.0</v>
      </c>
      <c r="G72" s="79">
        <v>14.0</v>
      </c>
      <c r="H72" s="80" t="s">
        <v>222</v>
      </c>
    </row>
    <row r="73" ht="15.75" customHeight="1">
      <c r="A73" s="83">
        <v>94.0</v>
      </c>
      <c r="B73" s="81" t="s">
        <v>261</v>
      </c>
      <c r="C73" s="82" t="s">
        <v>265</v>
      </c>
      <c r="D73" s="81" t="s">
        <v>266</v>
      </c>
      <c r="E73" s="81" t="s">
        <v>266</v>
      </c>
      <c r="F73" s="81">
        <v>2.0</v>
      </c>
      <c r="G73" s="81">
        <v>14.0</v>
      </c>
      <c r="H73" s="82" t="s">
        <v>222</v>
      </c>
    </row>
    <row r="74" ht="15.75" customHeight="1">
      <c r="A74" s="83">
        <v>96.0</v>
      </c>
      <c r="B74" s="79" t="s">
        <v>267</v>
      </c>
      <c r="C74" s="80" t="s">
        <v>268</v>
      </c>
      <c r="D74" s="79" t="s">
        <v>259</v>
      </c>
      <c r="E74" s="79" t="s">
        <v>259</v>
      </c>
      <c r="F74" s="79">
        <v>2.0</v>
      </c>
      <c r="G74" s="79">
        <v>20.0</v>
      </c>
      <c r="H74" s="80" t="s">
        <v>177</v>
      </c>
    </row>
    <row r="75" ht="15.75" customHeight="1">
      <c r="A75" s="83">
        <v>97.0</v>
      </c>
      <c r="B75" s="81" t="s">
        <v>267</v>
      </c>
      <c r="C75" s="82" t="s">
        <v>269</v>
      </c>
      <c r="D75" s="81" t="s">
        <v>270</v>
      </c>
      <c r="E75" s="81" t="s">
        <v>270</v>
      </c>
      <c r="F75" s="81">
        <v>2.0</v>
      </c>
      <c r="G75" s="81">
        <v>20.0</v>
      </c>
      <c r="H75" s="82" t="s">
        <v>222</v>
      </c>
    </row>
    <row r="76" ht="15.75" customHeight="1">
      <c r="A76" s="83">
        <v>98.0</v>
      </c>
      <c r="B76" s="79" t="s">
        <v>267</v>
      </c>
      <c r="C76" s="80" t="s">
        <v>271</v>
      </c>
      <c r="D76" s="79" t="s">
        <v>260</v>
      </c>
      <c r="E76" s="79" t="s">
        <v>260</v>
      </c>
      <c r="F76" s="79">
        <v>2.0</v>
      </c>
      <c r="G76" s="79">
        <v>14.0</v>
      </c>
      <c r="H76" s="80" t="s">
        <v>177</v>
      </c>
    </row>
    <row r="77" ht="15.75" customHeight="1">
      <c r="A77" s="77" t="s">
        <v>272</v>
      </c>
      <c r="B77" s="2"/>
      <c r="C77" s="2"/>
      <c r="D77" s="2"/>
      <c r="E77" s="2"/>
      <c r="F77" s="2"/>
      <c r="G77" s="2"/>
      <c r="H77" s="3"/>
    </row>
    <row r="78" ht="15.75" customHeight="1">
      <c r="A78" s="83">
        <v>101.0</v>
      </c>
      <c r="B78" s="79" t="s">
        <v>273</v>
      </c>
      <c r="C78" s="80" t="s">
        <v>274</v>
      </c>
      <c r="D78" s="79" t="s">
        <v>266</v>
      </c>
      <c r="E78" s="79" t="s">
        <v>266</v>
      </c>
      <c r="F78" s="79">
        <v>1.0</v>
      </c>
      <c r="G78" s="79">
        <v>8.0</v>
      </c>
      <c r="H78" s="80" t="s">
        <v>275</v>
      </c>
    </row>
    <row r="79" ht="15.75" customHeight="1">
      <c r="A79" s="83">
        <v>102.0</v>
      </c>
      <c r="B79" s="81" t="s">
        <v>273</v>
      </c>
      <c r="C79" s="82" t="s">
        <v>276</v>
      </c>
      <c r="D79" s="81" t="s">
        <v>277</v>
      </c>
      <c r="E79" s="81" t="s">
        <v>277</v>
      </c>
      <c r="F79" s="81">
        <v>1.0</v>
      </c>
      <c r="G79" s="81">
        <v>8.0</v>
      </c>
      <c r="H79" s="82" t="s">
        <v>166</v>
      </c>
    </row>
    <row r="80" ht="15.75" customHeight="1">
      <c r="A80" s="83">
        <v>104.0</v>
      </c>
      <c r="B80" s="79" t="s">
        <v>278</v>
      </c>
      <c r="C80" s="80" t="s">
        <v>279</v>
      </c>
      <c r="D80" s="79" t="s">
        <v>277</v>
      </c>
      <c r="E80" s="79" t="s">
        <v>277</v>
      </c>
      <c r="F80" s="79">
        <v>1.0</v>
      </c>
      <c r="G80" s="79">
        <v>8.0</v>
      </c>
      <c r="H80" s="80" t="s">
        <v>222</v>
      </c>
    </row>
    <row r="81" ht="15.75" customHeight="1">
      <c r="A81" s="83">
        <v>105.0</v>
      </c>
      <c r="B81" s="81" t="s">
        <v>278</v>
      </c>
      <c r="C81" s="82" t="s">
        <v>280</v>
      </c>
      <c r="D81" s="81" t="s">
        <v>139</v>
      </c>
      <c r="E81" s="81" t="s">
        <v>139</v>
      </c>
      <c r="F81" s="81">
        <v>1.0</v>
      </c>
      <c r="G81" s="81">
        <v>8.0</v>
      </c>
      <c r="H81" s="82" t="s">
        <v>222</v>
      </c>
    </row>
    <row r="82" ht="15.75" customHeight="1">
      <c r="A82" s="83">
        <v>107.0</v>
      </c>
      <c r="B82" s="79" t="s">
        <v>281</v>
      </c>
      <c r="C82" s="80" t="s">
        <v>282</v>
      </c>
      <c r="D82" s="79" t="s">
        <v>277</v>
      </c>
      <c r="E82" s="79" t="s">
        <v>140</v>
      </c>
      <c r="F82" s="79">
        <v>4.0</v>
      </c>
      <c r="G82" s="79">
        <v>4.0</v>
      </c>
      <c r="H82" s="80" t="s">
        <v>283</v>
      </c>
    </row>
    <row r="83" ht="15.75" customHeight="1">
      <c r="A83" s="83">
        <v>108.0</v>
      </c>
      <c r="B83" s="81" t="s">
        <v>281</v>
      </c>
      <c r="C83" s="82" t="s">
        <v>284</v>
      </c>
      <c r="D83" s="81" t="s">
        <v>142</v>
      </c>
      <c r="E83" s="81" t="s">
        <v>52</v>
      </c>
      <c r="F83" s="81">
        <v>4.0</v>
      </c>
      <c r="G83" s="81">
        <v>4.0</v>
      </c>
      <c r="H83" s="82" t="s">
        <v>283</v>
      </c>
    </row>
    <row r="84" ht="15.75" customHeight="1">
      <c r="A84" s="83">
        <v>109.0</v>
      </c>
      <c r="B84" s="79" t="s">
        <v>281</v>
      </c>
      <c r="C84" s="80" t="s">
        <v>285</v>
      </c>
      <c r="D84" s="79" t="s">
        <v>286</v>
      </c>
      <c r="E84" s="79" t="s">
        <v>286</v>
      </c>
      <c r="F84" s="79">
        <v>1.0</v>
      </c>
      <c r="G84" s="79">
        <v>2.0</v>
      </c>
      <c r="H84" s="80" t="s">
        <v>287</v>
      </c>
    </row>
    <row r="85" ht="15.75" customHeight="1">
      <c r="A85" s="83">
        <v>111.0</v>
      </c>
      <c r="B85" s="81" t="s">
        <v>288</v>
      </c>
      <c r="C85" s="82" t="s">
        <v>289</v>
      </c>
      <c r="D85" s="81" t="s">
        <v>286</v>
      </c>
      <c r="E85" s="81" t="s">
        <v>286</v>
      </c>
      <c r="F85" s="81">
        <v>1.0</v>
      </c>
      <c r="G85" s="81">
        <v>4.0</v>
      </c>
      <c r="H85" s="82" t="s">
        <v>166</v>
      </c>
    </row>
    <row r="86" ht="15.75" customHeight="1">
      <c r="A86" s="83">
        <v>112.0</v>
      </c>
      <c r="B86" s="79" t="s">
        <v>288</v>
      </c>
      <c r="C86" s="80" t="s">
        <v>290</v>
      </c>
      <c r="D86" s="79" t="s">
        <v>266</v>
      </c>
      <c r="E86" s="79" t="s">
        <v>139</v>
      </c>
      <c r="F86" s="79">
        <v>4.0</v>
      </c>
      <c r="G86" s="79">
        <v>4.0</v>
      </c>
      <c r="H86" s="80" t="s">
        <v>283</v>
      </c>
    </row>
    <row r="87" ht="15.75" customHeight="1">
      <c r="A87" s="83">
        <v>113.0</v>
      </c>
      <c r="B87" s="81" t="s">
        <v>288</v>
      </c>
      <c r="C87" s="82" t="s">
        <v>291</v>
      </c>
      <c r="D87" s="81" t="s">
        <v>266</v>
      </c>
      <c r="E87" s="81" t="s">
        <v>266</v>
      </c>
      <c r="F87" s="81">
        <v>1.0</v>
      </c>
      <c r="G87" s="81">
        <v>8.0</v>
      </c>
      <c r="H87" s="82" t="s">
        <v>222</v>
      </c>
    </row>
    <row r="88" ht="15.75" customHeight="1">
      <c r="A88" s="83">
        <v>115.0</v>
      </c>
      <c r="B88" s="79" t="s">
        <v>292</v>
      </c>
      <c r="C88" s="80" t="s">
        <v>293</v>
      </c>
      <c r="D88" s="79" t="s">
        <v>266</v>
      </c>
      <c r="E88" s="79" t="s">
        <v>266</v>
      </c>
      <c r="F88" s="79">
        <v>2.0</v>
      </c>
      <c r="G88" s="79">
        <v>4.0</v>
      </c>
      <c r="H88" s="80" t="s">
        <v>61</v>
      </c>
    </row>
    <row r="89" ht="15.75" customHeight="1">
      <c r="A89" s="83">
        <v>116.0</v>
      </c>
      <c r="B89" s="81" t="s">
        <v>292</v>
      </c>
      <c r="C89" s="82" t="s">
        <v>294</v>
      </c>
      <c r="D89" s="81" t="s">
        <v>136</v>
      </c>
      <c r="E89" s="81" t="s">
        <v>136</v>
      </c>
      <c r="F89" s="81">
        <v>1.0</v>
      </c>
      <c r="G89" s="81">
        <v>2.0</v>
      </c>
      <c r="H89" s="82" t="s">
        <v>61</v>
      </c>
    </row>
    <row r="90" ht="15.75" customHeight="1">
      <c r="A90" s="83">
        <v>117.0</v>
      </c>
      <c r="B90" s="79" t="s">
        <v>292</v>
      </c>
      <c r="C90" s="80" t="s">
        <v>295</v>
      </c>
      <c r="D90" s="79" t="s">
        <v>52</v>
      </c>
      <c r="E90" s="79" t="s">
        <v>52</v>
      </c>
      <c r="F90" s="79">
        <v>1.0</v>
      </c>
      <c r="G90" s="79">
        <v>2.0</v>
      </c>
      <c r="H90" s="80" t="s">
        <v>107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3:H3"/>
    <mergeCell ref="A22:H22"/>
    <mergeCell ref="A37:H37"/>
    <mergeCell ref="A62:H62"/>
    <mergeCell ref="A77:H77"/>
  </mergeCells>
  <printOptions/>
  <pageMargins bottom="1.0" footer="0.0" header="0.0" left="0.2" right="0.2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46.0"/>
    <col customWidth="1" min="4" max="5" width="16.0"/>
    <col customWidth="1" min="6" max="26" width="8.71"/>
  </cols>
  <sheetData>
    <row r="2" ht="25.5" customHeight="1">
      <c r="B2" s="65" t="s">
        <v>296</v>
      </c>
      <c r="C2" s="2"/>
      <c r="D2" s="2"/>
      <c r="E2" s="3"/>
    </row>
    <row r="4">
      <c r="B4" s="76" t="s">
        <v>93</v>
      </c>
      <c r="C4" s="76" t="s">
        <v>30</v>
      </c>
      <c r="D4" s="76" t="s">
        <v>297</v>
      </c>
      <c r="E4" s="76" t="s">
        <v>32</v>
      </c>
    </row>
    <row r="5">
      <c r="B5" s="84" t="s">
        <v>298</v>
      </c>
      <c r="C5" s="85" t="s">
        <v>36</v>
      </c>
      <c r="D5" s="84" t="s">
        <v>37</v>
      </c>
      <c r="E5" s="86" t="s">
        <v>38</v>
      </c>
    </row>
    <row r="6">
      <c r="B6" s="84" t="s">
        <v>299</v>
      </c>
      <c r="C6" s="85" t="s">
        <v>41</v>
      </c>
      <c r="D6" s="84" t="s">
        <v>42</v>
      </c>
      <c r="E6" s="86" t="s">
        <v>38</v>
      </c>
    </row>
    <row r="7">
      <c r="B7" s="84" t="s">
        <v>300</v>
      </c>
      <c r="C7" s="85" t="s">
        <v>44</v>
      </c>
      <c r="D7" s="84" t="s">
        <v>45</v>
      </c>
      <c r="E7" s="87" t="s">
        <v>46</v>
      </c>
    </row>
    <row r="8">
      <c r="B8" s="84" t="s">
        <v>301</v>
      </c>
      <c r="C8" s="85" t="s">
        <v>48</v>
      </c>
      <c r="D8" s="84" t="s">
        <v>49</v>
      </c>
      <c r="E8" s="87" t="s">
        <v>46</v>
      </c>
    </row>
    <row r="9">
      <c r="B9" s="84" t="s">
        <v>302</v>
      </c>
      <c r="C9" s="85" t="s">
        <v>51</v>
      </c>
      <c r="D9" s="84" t="s">
        <v>52</v>
      </c>
      <c r="E9" s="87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E2"/>
  </mergeCells>
  <printOptions/>
  <pageMargins bottom="1.0" footer="0.0" header="0.0" left="0.2" right="0.2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50.0"/>
    <col customWidth="1" min="4" max="4" width="17.0"/>
    <col customWidth="1" min="5" max="6" width="6.0"/>
    <col customWidth="1" min="7" max="8" width="9.0"/>
    <col customWidth="1" min="9" max="9" width="10.0"/>
    <col customWidth="1" min="10" max="10" width="24.0"/>
    <col customWidth="1" min="11" max="26" width="8.71"/>
  </cols>
  <sheetData>
    <row r="2" ht="25.5" customHeight="1">
      <c r="B2" s="65" t="s">
        <v>303</v>
      </c>
      <c r="C2" s="2"/>
      <c r="D2" s="2"/>
      <c r="E2" s="2"/>
      <c r="F2" s="2"/>
      <c r="G2" s="2"/>
      <c r="H2" s="2"/>
      <c r="I2" s="2"/>
      <c r="J2" s="3"/>
    </row>
    <row r="4">
      <c r="B4" s="88" t="s">
        <v>304</v>
      </c>
      <c r="C4" s="88" t="s">
        <v>305</v>
      </c>
      <c r="D4" s="88" t="s">
        <v>306</v>
      </c>
      <c r="E4" s="88" t="s">
        <v>307</v>
      </c>
      <c r="F4" s="88" t="s">
        <v>308</v>
      </c>
      <c r="G4" s="88" t="s">
        <v>34</v>
      </c>
      <c r="H4" s="88" t="s">
        <v>35</v>
      </c>
      <c r="I4" s="88" t="s">
        <v>56</v>
      </c>
      <c r="J4" s="88" t="s">
        <v>58</v>
      </c>
    </row>
    <row r="5" ht="24.0" customHeight="1">
      <c r="B5" s="81">
        <v>2.0</v>
      </c>
      <c r="C5" s="89" t="s">
        <v>309</v>
      </c>
      <c r="D5" s="81" t="s">
        <v>60</v>
      </c>
      <c r="E5" s="81">
        <v>3.0</v>
      </c>
      <c r="F5" s="81">
        <v>4.0</v>
      </c>
      <c r="G5" s="81">
        <v>12.0</v>
      </c>
      <c r="H5" s="81" t="str">
        <f t="shared" ref="H5:H24" si="1">IF(G5&gt;=15,"🔴 Alto",IF(G5&gt;=8,"🟡 Médio","🟢 Baixo"))</f>
        <v>🟡 Médio</v>
      </c>
      <c r="I5" s="81" t="s">
        <v>59</v>
      </c>
      <c r="J5" s="89" t="s">
        <v>310</v>
      </c>
    </row>
    <row r="6" ht="24.0" customHeight="1">
      <c r="B6" s="81">
        <v>6.0</v>
      </c>
      <c r="C6" s="89" t="s">
        <v>311</v>
      </c>
      <c r="D6" s="81" t="s">
        <v>63</v>
      </c>
      <c r="E6" s="81">
        <v>4.0</v>
      </c>
      <c r="F6" s="81">
        <v>3.0</v>
      </c>
      <c r="G6" s="81">
        <v>12.0</v>
      </c>
      <c r="H6" s="81" t="str">
        <f t="shared" si="1"/>
        <v>🟡 Médio</v>
      </c>
      <c r="I6" s="81" t="s">
        <v>62</v>
      </c>
      <c r="J6" s="89" t="s">
        <v>310</v>
      </c>
    </row>
    <row r="7" ht="24.0" customHeight="1">
      <c r="B7" s="81">
        <v>12.0</v>
      </c>
      <c r="C7" s="89" t="s">
        <v>312</v>
      </c>
      <c r="D7" s="81" t="s">
        <v>64</v>
      </c>
      <c r="E7" s="81">
        <v>4.0</v>
      </c>
      <c r="F7" s="81">
        <v>3.0</v>
      </c>
      <c r="G7" s="81">
        <v>12.0</v>
      </c>
      <c r="H7" s="81" t="str">
        <f t="shared" si="1"/>
        <v>🟡 Médio</v>
      </c>
      <c r="I7" s="81" t="s">
        <v>62</v>
      </c>
      <c r="J7" s="89" t="s">
        <v>313</v>
      </c>
    </row>
    <row r="8" ht="24.0" customHeight="1">
      <c r="B8" s="81">
        <v>8.0</v>
      </c>
      <c r="C8" s="89" t="s">
        <v>314</v>
      </c>
      <c r="D8" s="81" t="s">
        <v>63</v>
      </c>
      <c r="E8" s="81">
        <v>3.0</v>
      </c>
      <c r="F8" s="81">
        <v>3.0</v>
      </c>
      <c r="G8" s="81">
        <v>9.0</v>
      </c>
      <c r="H8" s="81" t="str">
        <f t="shared" si="1"/>
        <v>🟡 Médio</v>
      </c>
      <c r="I8" s="81" t="s">
        <v>59</v>
      </c>
      <c r="J8" s="89" t="s">
        <v>310</v>
      </c>
    </row>
    <row r="9" ht="24.0" customHeight="1">
      <c r="B9" s="81">
        <v>11.0</v>
      </c>
      <c r="C9" s="89" t="s">
        <v>315</v>
      </c>
      <c r="D9" s="81" t="s">
        <v>64</v>
      </c>
      <c r="E9" s="81">
        <v>3.0</v>
      </c>
      <c r="F9" s="81">
        <v>3.0</v>
      </c>
      <c r="G9" s="81">
        <v>9.0</v>
      </c>
      <c r="H9" s="81" t="str">
        <f t="shared" si="1"/>
        <v>🟡 Médio</v>
      </c>
      <c r="I9" s="81" t="s">
        <v>59</v>
      </c>
      <c r="J9" s="89" t="s">
        <v>313</v>
      </c>
    </row>
    <row r="10" ht="24.0" customHeight="1">
      <c r="B10" s="81">
        <v>13.0</v>
      </c>
      <c r="C10" s="89" t="s">
        <v>316</v>
      </c>
      <c r="D10" s="81" t="s">
        <v>64</v>
      </c>
      <c r="E10" s="81">
        <v>3.0</v>
      </c>
      <c r="F10" s="81">
        <v>3.0</v>
      </c>
      <c r="G10" s="81">
        <v>9.0</v>
      </c>
      <c r="H10" s="81" t="str">
        <f t="shared" si="1"/>
        <v>🟡 Médio</v>
      </c>
      <c r="I10" s="81" t="s">
        <v>59</v>
      </c>
      <c r="J10" s="89" t="s">
        <v>313</v>
      </c>
    </row>
    <row r="11" ht="24.0" customHeight="1">
      <c r="B11" s="81">
        <v>4.0</v>
      </c>
      <c r="C11" s="89" t="s">
        <v>317</v>
      </c>
      <c r="D11" s="81" t="s">
        <v>64</v>
      </c>
      <c r="E11" s="81">
        <v>2.0</v>
      </c>
      <c r="F11" s="81">
        <v>4.0</v>
      </c>
      <c r="G11" s="81">
        <v>8.0</v>
      </c>
      <c r="H11" s="81" t="str">
        <f t="shared" si="1"/>
        <v>🟡 Médio</v>
      </c>
      <c r="I11" s="81" t="s">
        <v>59</v>
      </c>
      <c r="J11" s="89" t="s">
        <v>310</v>
      </c>
    </row>
    <row r="12" ht="24.0" customHeight="1">
      <c r="B12" s="81">
        <v>7.0</v>
      </c>
      <c r="C12" s="89" t="s">
        <v>318</v>
      </c>
      <c r="D12" s="81" t="s">
        <v>63</v>
      </c>
      <c r="E12" s="81">
        <v>2.0</v>
      </c>
      <c r="F12" s="81">
        <v>4.0</v>
      </c>
      <c r="G12" s="81">
        <v>8.0</v>
      </c>
      <c r="H12" s="81" t="str">
        <f t="shared" si="1"/>
        <v>🟡 Médio</v>
      </c>
      <c r="I12" s="81" t="s">
        <v>59</v>
      </c>
      <c r="J12" s="89" t="s">
        <v>310</v>
      </c>
    </row>
    <row r="13" ht="24.0" customHeight="1">
      <c r="B13" s="81">
        <v>14.0</v>
      </c>
      <c r="C13" s="89" t="s">
        <v>319</v>
      </c>
      <c r="D13" s="81" t="s">
        <v>64</v>
      </c>
      <c r="E13" s="81">
        <v>2.0</v>
      </c>
      <c r="F13" s="81">
        <v>4.0</v>
      </c>
      <c r="G13" s="81">
        <v>8.0</v>
      </c>
      <c r="H13" s="81" t="str">
        <f t="shared" si="1"/>
        <v>🟡 Médio</v>
      </c>
      <c r="I13" s="81" t="s">
        <v>320</v>
      </c>
      <c r="J13" s="89" t="s">
        <v>313</v>
      </c>
    </row>
    <row r="14" ht="24.0" customHeight="1">
      <c r="B14" s="81">
        <v>1.0</v>
      </c>
      <c r="C14" s="89" t="s">
        <v>321</v>
      </c>
      <c r="D14" s="81" t="s">
        <v>60</v>
      </c>
      <c r="E14" s="81">
        <v>3.0</v>
      </c>
      <c r="F14" s="81">
        <v>3.0</v>
      </c>
      <c r="G14" s="81">
        <v>6.0</v>
      </c>
      <c r="H14" s="81" t="str">
        <f t="shared" si="1"/>
        <v>🟢 Baixo</v>
      </c>
      <c r="I14" s="81" t="s">
        <v>59</v>
      </c>
      <c r="J14" s="89" t="s">
        <v>310</v>
      </c>
    </row>
    <row r="15" ht="24.0" customHeight="1">
      <c r="B15" s="81">
        <v>3.0</v>
      </c>
      <c r="C15" s="89" t="s">
        <v>322</v>
      </c>
      <c r="D15" s="81" t="s">
        <v>60</v>
      </c>
      <c r="E15" s="81">
        <v>3.0</v>
      </c>
      <c r="F15" s="81">
        <v>2.0</v>
      </c>
      <c r="G15" s="81">
        <v>6.0</v>
      </c>
      <c r="H15" s="81" t="str">
        <f t="shared" si="1"/>
        <v>🟢 Baixo</v>
      </c>
      <c r="I15" s="81" t="s">
        <v>59</v>
      </c>
      <c r="J15" s="89" t="s">
        <v>310</v>
      </c>
    </row>
    <row r="16" ht="24.0" customHeight="1">
      <c r="B16" s="81">
        <v>5.0</v>
      </c>
      <c r="C16" s="89" t="s">
        <v>323</v>
      </c>
      <c r="D16" s="81" t="s">
        <v>60</v>
      </c>
      <c r="E16" s="81">
        <v>2.0</v>
      </c>
      <c r="F16" s="81">
        <v>3.0</v>
      </c>
      <c r="G16" s="81">
        <v>6.0</v>
      </c>
      <c r="H16" s="81" t="str">
        <f t="shared" si="1"/>
        <v>🟢 Baixo</v>
      </c>
      <c r="I16" s="81" t="s">
        <v>59</v>
      </c>
      <c r="J16" s="89" t="s">
        <v>310</v>
      </c>
    </row>
    <row r="17" ht="24.0" customHeight="1">
      <c r="B17" s="81">
        <v>9.0</v>
      </c>
      <c r="C17" s="89" t="s">
        <v>324</v>
      </c>
      <c r="D17" s="81" t="s">
        <v>63</v>
      </c>
      <c r="E17" s="81">
        <v>2.0</v>
      </c>
      <c r="F17" s="81">
        <v>3.0</v>
      </c>
      <c r="G17" s="81">
        <v>6.0</v>
      </c>
      <c r="H17" s="81" t="str">
        <f t="shared" si="1"/>
        <v>🟢 Baixo</v>
      </c>
      <c r="I17" s="81" t="s">
        <v>59</v>
      </c>
      <c r="J17" s="89" t="s">
        <v>325</v>
      </c>
    </row>
    <row r="18" ht="24.0" customHeight="1">
      <c r="B18" s="81">
        <v>10.0</v>
      </c>
      <c r="C18" s="89" t="s">
        <v>326</v>
      </c>
      <c r="D18" s="81" t="s">
        <v>63</v>
      </c>
      <c r="E18" s="81">
        <v>2.0</v>
      </c>
      <c r="F18" s="81">
        <v>3.0</v>
      </c>
      <c r="G18" s="81">
        <v>6.0</v>
      </c>
      <c r="H18" s="81" t="str">
        <f t="shared" si="1"/>
        <v>🟢 Baixo</v>
      </c>
      <c r="I18" s="81" t="s">
        <v>59</v>
      </c>
      <c r="J18" s="89" t="s">
        <v>310</v>
      </c>
    </row>
    <row r="19" ht="24.0" customHeight="1">
      <c r="B19" s="81">
        <v>16.0</v>
      </c>
      <c r="C19" s="89" t="s">
        <v>327</v>
      </c>
      <c r="D19" s="81" t="s">
        <v>328</v>
      </c>
      <c r="E19" s="81">
        <v>2.0</v>
      </c>
      <c r="F19" s="81">
        <v>3.0</v>
      </c>
      <c r="G19" s="81">
        <v>6.0</v>
      </c>
      <c r="H19" s="81" t="str">
        <f t="shared" si="1"/>
        <v>🟢 Baixo</v>
      </c>
      <c r="I19" s="81" t="s">
        <v>59</v>
      </c>
      <c r="J19" s="89" t="s">
        <v>313</v>
      </c>
    </row>
    <row r="20" ht="24.0" customHeight="1">
      <c r="B20" s="81">
        <v>19.0</v>
      </c>
      <c r="C20" s="89" t="s">
        <v>329</v>
      </c>
      <c r="D20" s="81" t="s">
        <v>330</v>
      </c>
      <c r="E20" s="81">
        <v>2.0</v>
      </c>
      <c r="F20" s="81">
        <v>3.0</v>
      </c>
      <c r="G20" s="81">
        <v>6.0</v>
      </c>
      <c r="H20" s="81" t="str">
        <f t="shared" si="1"/>
        <v>🟢 Baixo</v>
      </c>
      <c r="I20" s="81" t="s">
        <v>59</v>
      </c>
      <c r="J20" s="89" t="s">
        <v>331</v>
      </c>
    </row>
    <row r="21" ht="24.0" customHeight="1">
      <c r="B21" s="81">
        <v>20.0</v>
      </c>
      <c r="C21" s="89" t="s">
        <v>332</v>
      </c>
      <c r="D21" s="81" t="s">
        <v>63</v>
      </c>
      <c r="E21" s="81">
        <v>2.0</v>
      </c>
      <c r="F21" s="81">
        <v>3.0</v>
      </c>
      <c r="G21" s="81">
        <v>6.0</v>
      </c>
      <c r="H21" s="81" t="str">
        <f t="shared" si="1"/>
        <v>🟢 Baixo</v>
      </c>
      <c r="I21" s="81" t="s">
        <v>59</v>
      </c>
      <c r="J21" s="89" t="s">
        <v>310</v>
      </c>
    </row>
    <row r="22" ht="24.0" customHeight="1">
      <c r="B22" s="81">
        <v>17.0</v>
      </c>
      <c r="C22" s="89" t="s">
        <v>333</v>
      </c>
      <c r="D22" s="81" t="s">
        <v>330</v>
      </c>
      <c r="E22" s="81">
        <v>2.0</v>
      </c>
      <c r="F22" s="81">
        <v>2.0</v>
      </c>
      <c r="G22" s="81">
        <v>4.0</v>
      </c>
      <c r="H22" s="81" t="str">
        <f t="shared" si="1"/>
        <v>🟢 Baixo</v>
      </c>
      <c r="I22" s="81" t="s">
        <v>62</v>
      </c>
      <c r="J22" s="89" t="s">
        <v>313</v>
      </c>
    </row>
    <row r="23" ht="24.0" customHeight="1">
      <c r="B23" s="81">
        <v>18.0</v>
      </c>
      <c r="C23" s="89" t="s">
        <v>334</v>
      </c>
      <c r="D23" s="81" t="s">
        <v>330</v>
      </c>
      <c r="E23" s="81">
        <v>1.0</v>
      </c>
      <c r="F23" s="81">
        <v>3.0</v>
      </c>
      <c r="G23" s="81">
        <v>3.0</v>
      </c>
      <c r="H23" s="81" t="str">
        <f t="shared" si="1"/>
        <v>🟢 Baixo</v>
      </c>
      <c r="I23" s="81" t="s">
        <v>59</v>
      </c>
      <c r="J23" s="89" t="s">
        <v>335</v>
      </c>
    </row>
    <row r="24" ht="24.0" customHeight="1">
      <c r="B24" s="81">
        <v>15.0</v>
      </c>
      <c r="C24" s="89" t="s">
        <v>336</v>
      </c>
      <c r="D24" s="81" t="s">
        <v>64</v>
      </c>
      <c r="E24" s="81">
        <v>1.0</v>
      </c>
      <c r="F24" s="81">
        <v>2.0</v>
      </c>
      <c r="G24" s="81">
        <v>2.0</v>
      </c>
      <c r="H24" s="81" t="str">
        <f t="shared" si="1"/>
        <v>🟢 Baixo</v>
      </c>
      <c r="I24" s="81" t="s">
        <v>62</v>
      </c>
      <c r="J24" s="89" t="s">
        <v>313</v>
      </c>
    </row>
    <row r="25" ht="15.75" customHeight="1"/>
    <row r="26" ht="15.75" customHeight="1">
      <c r="C26" s="9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J2"/>
  </mergeCells>
  <printOptions/>
  <pageMargins bottom="1.0" footer="0.0" header="0.0" left="0.2" right="0.2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9.0"/>
    <col customWidth="1" min="3" max="3" width="20.0"/>
    <col customWidth="1" min="4" max="4" width="22.0"/>
    <col customWidth="1" min="5" max="6" width="12.0"/>
    <col customWidth="1" min="7" max="7" width="10.0"/>
    <col customWidth="1" min="8" max="8" width="11.0"/>
    <col customWidth="1" min="9" max="9" width="12.0"/>
    <col customWidth="1" min="10" max="26" width="8.71"/>
  </cols>
  <sheetData>
    <row r="2" ht="25.5" customHeight="1">
      <c r="B2" s="65" t="s">
        <v>337</v>
      </c>
      <c r="C2" s="2"/>
      <c r="D2" s="2"/>
      <c r="E2" s="2"/>
      <c r="F2" s="2"/>
      <c r="G2" s="2"/>
      <c r="H2" s="2"/>
      <c r="I2" s="3"/>
    </row>
    <row r="4">
      <c r="B4" s="88" t="s">
        <v>304</v>
      </c>
      <c r="C4" s="88" t="s">
        <v>338</v>
      </c>
      <c r="D4" s="88" t="s">
        <v>339</v>
      </c>
      <c r="E4" s="88" t="s">
        <v>340</v>
      </c>
      <c r="F4" s="88" t="s">
        <v>341</v>
      </c>
      <c r="G4" s="88" t="s">
        <v>342</v>
      </c>
      <c r="H4" s="88" t="s">
        <v>343</v>
      </c>
      <c r="I4" s="88" t="s">
        <v>344</v>
      </c>
    </row>
    <row r="5">
      <c r="B5" s="84" t="s">
        <v>61</v>
      </c>
      <c r="C5" s="85" t="s">
        <v>72</v>
      </c>
      <c r="D5" s="85" t="s">
        <v>335</v>
      </c>
      <c r="E5" s="84">
        <v>160.0</v>
      </c>
      <c r="F5" s="84">
        <v>142.0</v>
      </c>
      <c r="G5" s="91">
        <f t="shared" ref="G5:G10" si="1">F5/E5</f>
        <v>0.8875</v>
      </c>
      <c r="H5" s="84">
        <f t="shared" ref="H5:H10" si="2">E5-F5</f>
        <v>18</v>
      </c>
      <c r="I5" s="84" t="str">
        <f t="shared" ref="I5:I10" si="3">IF(G5&gt;1,"🔴 ACIMA",IF(G5&gt;0.9,"🟡 LIMITE","🟢 OK"))</f>
        <v>🟢 OK</v>
      </c>
    </row>
    <row r="6">
      <c r="B6" s="84" t="s">
        <v>119</v>
      </c>
      <c r="C6" s="85" t="s">
        <v>345</v>
      </c>
      <c r="D6" s="85" t="s">
        <v>346</v>
      </c>
      <c r="E6" s="84">
        <v>80.0</v>
      </c>
      <c r="F6" s="84">
        <v>49.0</v>
      </c>
      <c r="G6" s="91">
        <f t="shared" si="1"/>
        <v>0.6125</v>
      </c>
      <c r="H6" s="84">
        <f t="shared" si="2"/>
        <v>31</v>
      </c>
      <c r="I6" s="84" t="str">
        <f t="shared" si="3"/>
        <v>🟢 OK</v>
      </c>
    </row>
    <row r="7">
      <c r="B7" s="84" t="s">
        <v>166</v>
      </c>
      <c r="C7" s="85" t="s">
        <v>347</v>
      </c>
      <c r="D7" s="85" t="s">
        <v>348</v>
      </c>
      <c r="E7" s="84">
        <v>330.0</v>
      </c>
      <c r="F7" s="84">
        <v>273.0</v>
      </c>
      <c r="G7" s="91">
        <f t="shared" si="1"/>
        <v>0.8272727273</v>
      </c>
      <c r="H7" s="84">
        <f t="shared" si="2"/>
        <v>57</v>
      </c>
      <c r="I7" s="84" t="str">
        <f t="shared" si="3"/>
        <v>🟢 OK</v>
      </c>
    </row>
    <row r="8">
      <c r="B8" s="84" t="s">
        <v>170</v>
      </c>
      <c r="C8" s="85" t="s">
        <v>349</v>
      </c>
      <c r="D8" s="85" t="s">
        <v>348</v>
      </c>
      <c r="E8" s="84">
        <v>330.0</v>
      </c>
      <c r="F8" s="84">
        <v>257.0</v>
      </c>
      <c r="G8" s="91">
        <f t="shared" si="1"/>
        <v>0.7787878788</v>
      </c>
      <c r="H8" s="84">
        <f t="shared" si="2"/>
        <v>73</v>
      </c>
      <c r="I8" s="84" t="str">
        <f t="shared" si="3"/>
        <v>🟢 OK</v>
      </c>
    </row>
    <row r="9">
      <c r="B9" s="84" t="s">
        <v>222</v>
      </c>
      <c r="C9" s="85" t="s">
        <v>350</v>
      </c>
      <c r="D9" s="85" t="s">
        <v>348</v>
      </c>
      <c r="E9" s="84">
        <v>330.0</v>
      </c>
      <c r="F9" s="84">
        <v>309.0</v>
      </c>
      <c r="G9" s="91">
        <f t="shared" si="1"/>
        <v>0.9363636364</v>
      </c>
      <c r="H9" s="84">
        <f t="shared" si="2"/>
        <v>21</v>
      </c>
      <c r="I9" s="84" t="str">
        <f t="shared" si="3"/>
        <v>🟡 LIMITE</v>
      </c>
    </row>
    <row r="10">
      <c r="B10" s="84" t="s">
        <v>283</v>
      </c>
      <c r="C10" s="85" t="s">
        <v>351</v>
      </c>
      <c r="D10" s="85" t="s">
        <v>352</v>
      </c>
      <c r="E10" s="84">
        <v>20.0</v>
      </c>
      <c r="F10" s="84">
        <v>17.0</v>
      </c>
      <c r="G10" s="91">
        <f t="shared" si="1"/>
        <v>0.85</v>
      </c>
      <c r="H10" s="84">
        <f t="shared" si="2"/>
        <v>3</v>
      </c>
      <c r="I10" s="84" t="str">
        <f t="shared" si="3"/>
        <v>🟢 OK</v>
      </c>
    </row>
    <row r="12" ht="25.5" customHeight="1">
      <c r="B12" s="65" t="s">
        <v>353</v>
      </c>
      <c r="C12" s="2"/>
      <c r="D12" s="2"/>
      <c r="E12" s="2"/>
      <c r="F12" s="2"/>
      <c r="G12" s="2"/>
      <c r="H12" s="2"/>
      <c r="I12" s="3"/>
    </row>
    <row r="14">
      <c r="B14" s="88" t="s">
        <v>304</v>
      </c>
      <c r="C14" s="88" t="s">
        <v>338</v>
      </c>
      <c r="D14" s="88" t="s">
        <v>99</v>
      </c>
      <c r="E14" s="88" t="s">
        <v>354</v>
      </c>
      <c r="F14" s="88" t="s">
        <v>355</v>
      </c>
      <c r="G14" s="88" t="s">
        <v>356</v>
      </c>
      <c r="H14" s="88" t="s">
        <v>357</v>
      </c>
    </row>
    <row r="15">
      <c r="B15" s="84" t="s">
        <v>61</v>
      </c>
      <c r="C15" s="85" t="s">
        <v>72</v>
      </c>
      <c r="D15" s="84">
        <v>142.0</v>
      </c>
      <c r="E15" s="92">
        <v>30.0</v>
      </c>
      <c r="F15" s="93">
        <f t="shared" ref="F15:F20" si="4">D15*E15</f>
        <v>4260</v>
      </c>
      <c r="G15" s="93">
        <v>4800.0</v>
      </c>
      <c r="H15" s="93">
        <f t="shared" ref="H15:H20" si="5">F15-G15</f>
        <v>-540</v>
      </c>
    </row>
    <row r="16">
      <c r="B16" s="84" t="s">
        <v>119</v>
      </c>
      <c r="C16" s="85" t="s">
        <v>345</v>
      </c>
      <c r="D16" s="84">
        <v>49.0</v>
      </c>
      <c r="E16" s="92">
        <v>30.0</v>
      </c>
      <c r="F16" s="93">
        <f t="shared" si="4"/>
        <v>1470</v>
      </c>
      <c r="G16" s="93">
        <v>2400.0</v>
      </c>
      <c r="H16" s="93">
        <f t="shared" si="5"/>
        <v>-930</v>
      </c>
    </row>
    <row r="17">
      <c r="B17" s="84" t="s">
        <v>166</v>
      </c>
      <c r="C17" s="85" t="s">
        <v>347</v>
      </c>
      <c r="D17" s="84">
        <v>273.0</v>
      </c>
      <c r="E17" s="92">
        <v>25.0</v>
      </c>
      <c r="F17" s="93">
        <f t="shared" si="4"/>
        <v>6825</v>
      </c>
      <c r="G17" s="93">
        <v>8250.0</v>
      </c>
      <c r="H17" s="93">
        <f t="shared" si="5"/>
        <v>-1425</v>
      </c>
    </row>
    <row r="18">
      <c r="B18" s="84" t="s">
        <v>170</v>
      </c>
      <c r="C18" s="85" t="s">
        <v>349</v>
      </c>
      <c r="D18" s="84">
        <v>257.0</v>
      </c>
      <c r="E18" s="92">
        <v>25.0</v>
      </c>
      <c r="F18" s="93">
        <f t="shared" si="4"/>
        <v>6425</v>
      </c>
      <c r="G18" s="93">
        <v>8250.0</v>
      </c>
      <c r="H18" s="93">
        <f t="shared" si="5"/>
        <v>-1825</v>
      </c>
    </row>
    <row r="19">
      <c r="B19" s="84" t="s">
        <v>222</v>
      </c>
      <c r="C19" s="85" t="s">
        <v>350</v>
      </c>
      <c r="D19" s="84">
        <v>309.0</v>
      </c>
      <c r="E19" s="92">
        <v>25.0</v>
      </c>
      <c r="F19" s="93">
        <f t="shared" si="4"/>
        <v>7725</v>
      </c>
      <c r="G19" s="93">
        <v>8250.0</v>
      </c>
      <c r="H19" s="93">
        <f t="shared" si="5"/>
        <v>-525</v>
      </c>
    </row>
    <row r="20">
      <c r="B20" s="84" t="s">
        <v>283</v>
      </c>
      <c r="C20" s="85" t="s">
        <v>351</v>
      </c>
      <c r="D20" s="84">
        <v>17.0</v>
      </c>
      <c r="E20" s="92">
        <v>25.0</v>
      </c>
      <c r="F20" s="93">
        <f t="shared" si="4"/>
        <v>425</v>
      </c>
      <c r="G20" s="93">
        <v>500.0</v>
      </c>
      <c r="H20" s="93">
        <f t="shared" si="5"/>
        <v>-75</v>
      </c>
    </row>
    <row r="21" ht="15.75" customHeight="1">
      <c r="B21" s="94"/>
      <c r="C21" s="95" t="s">
        <v>358</v>
      </c>
      <c r="D21" s="94"/>
      <c r="E21" s="94"/>
      <c r="F21" s="96">
        <f t="shared" ref="F21:H21" si="6">SUM(F15:F20)</f>
        <v>27130</v>
      </c>
      <c r="G21" s="96">
        <f t="shared" si="6"/>
        <v>32450</v>
      </c>
      <c r="H21" s="96">
        <f t="shared" si="6"/>
        <v>-5320</v>
      </c>
    </row>
    <row r="22" ht="15.75" customHeight="1"/>
    <row r="23" ht="25.5" customHeight="1">
      <c r="B23" s="65" t="s">
        <v>359</v>
      </c>
      <c r="C23" s="2"/>
      <c r="D23" s="2"/>
      <c r="E23" s="2"/>
      <c r="F23" s="2"/>
      <c r="G23" s="2"/>
      <c r="H23" s="2"/>
      <c r="I23" s="3"/>
    </row>
    <row r="24" ht="15.75" customHeight="1"/>
    <row r="25" ht="15.75" customHeight="1">
      <c r="B25" s="97" t="s">
        <v>360</v>
      </c>
      <c r="C25" s="31"/>
      <c r="D25" s="88" t="s">
        <v>361</v>
      </c>
      <c r="E25" s="88" t="s">
        <v>362</v>
      </c>
    </row>
    <row r="26" ht="15.75" customHeight="1">
      <c r="B26" s="98" t="s">
        <v>363</v>
      </c>
      <c r="C26" s="31"/>
      <c r="D26" s="92">
        <v>4800.0</v>
      </c>
      <c r="E26" s="99">
        <f t="shared" ref="E26:E30" si="7">D26/32450</f>
        <v>0.1479198767</v>
      </c>
    </row>
    <row r="27" ht="15.75" customHeight="1">
      <c r="B27" s="98" t="s">
        <v>364</v>
      </c>
      <c r="C27" s="31"/>
      <c r="D27" s="92">
        <v>3894.0</v>
      </c>
      <c r="E27" s="99">
        <f t="shared" si="7"/>
        <v>0.12</v>
      </c>
    </row>
    <row r="28" ht="15.75" customHeight="1">
      <c r="B28" s="98" t="s">
        <v>365</v>
      </c>
      <c r="C28" s="31"/>
      <c r="D28" s="92">
        <v>16874.0</v>
      </c>
      <c r="E28" s="99">
        <f t="shared" si="7"/>
        <v>0.52</v>
      </c>
    </row>
    <row r="29" ht="15.75" customHeight="1">
      <c r="B29" s="98" t="s">
        <v>366</v>
      </c>
      <c r="C29" s="31"/>
      <c r="D29" s="92">
        <v>6490.0</v>
      </c>
      <c r="E29" s="99">
        <f t="shared" si="7"/>
        <v>0.2</v>
      </c>
    </row>
    <row r="30" ht="15.75" customHeight="1">
      <c r="B30" s="98" t="s">
        <v>367</v>
      </c>
      <c r="C30" s="31"/>
      <c r="D30" s="92">
        <v>5192.0</v>
      </c>
      <c r="E30" s="99">
        <f t="shared" si="7"/>
        <v>0.16</v>
      </c>
    </row>
    <row r="31" ht="15.75" customHeight="1">
      <c r="B31" s="100" t="s">
        <v>358</v>
      </c>
      <c r="C31" s="31"/>
      <c r="D31" s="101">
        <f>SUM(D26:D30)</f>
        <v>37250</v>
      </c>
      <c r="E31" s="102">
        <v>1.0</v>
      </c>
    </row>
    <row r="32" ht="15.75" customHeight="1"/>
    <row r="33" ht="15.75" customHeight="1">
      <c r="B33" s="90" t="s">
        <v>368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29:C29"/>
    <mergeCell ref="B30:C30"/>
    <mergeCell ref="B31:C31"/>
    <mergeCell ref="B2:I2"/>
    <mergeCell ref="B12:I12"/>
    <mergeCell ref="B23:I23"/>
    <mergeCell ref="B25:C25"/>
    <mergeCell ref="B26:C26"/>
    <mergeCell ref="B27:C27"/>
    <mergeCell ref="B28:C28"/>
  </mergeCells>
  <printOptions/>
  <pageMargins bottom="1.0" footer="0.0" header="0.0" left="0.2" right="0.2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14.0"/>
    <col customWidth="1" min="4" max="4" width="10.0"/>
    <col customWidth="1" min="5" max="5" width="74.0"/>
    <col customWidth="1" min="6" max="26" width="8.71"/>
  </cols>
  <sheetData>
    <row r="2" ht="25.5" customHeight="1">
      <c r="B2" s="65" t="s">
        <v>369</v>
      </c>
      <c r="C2" s="2"/>
      <c r="D2" s="2"/>
      <c r="E2" s="3"/>
    </row>
    <row r="4">
      <c r="B4" s="88" t="s">
        <v>370</v>
      </c>
      <c r="C4" s="88" t="s">
        <v>371</v>
      </c>
      <c r="D4" s="88" t="s">
        <v>372</v>
      </c>
      <c r="E4" s="88" t="s">
        <v>373</v>
      </c>
    </row>
    <row r="5" ht="30.0" customHeight="1">
      <c r="B5" s="82" t="s">
        <v>374</v>
      </c>
      <c r="C5" s="81" t="s">
        <v>375</v>
      </c>
      <c r="D5" s="103" t="s">
        <v>376</v>
      </c>
      <c r="E5" s="89" t="s">
        <v>377</v>
      </c>
    </row>
    <row r="6" ht="30.0" customHeight="1">
      <c r="B6" s="82" t="s">
        <v>378</v>
      </c>
      <c r="C6" s="81" t="s">
        <v>379</v>
      </c>
      <c r="D6" s="103" t="s">
        <v>376</v>
      </c>
      <c r="E6" s="89" t="s">
        <v>380</v>
      </c>
    </row>
    <row r="7" ht="30.0" customHeight="1">
      <c r="B7" s="82" t="s">
        <v>381</v>
      </c>
      <c r="C7" s="81" t="s">
        <v>375</v>
      </c>
      <c r="D7" s="103" t="s">
        <v>376</v>
      </c>
      <c r="E7" s="89" t="s">
        <v>382</v>
      </c>
    </row>
    <row r="8" ht="30.0" customHeight="1">
      <c r="B8" s="82" t="s">
        <v>383</v>
      </c>
      <c r="C8" s="81" t="s">
        <v>375</v>
      </c>
      <c r="D8" s="103" t="s">
        <v>376</v>
      </c>
      <c r="E8" s="89" t="s">
        <v>384</v>
      </c>
    </row>
    <row r="9" ht="30.0" customHeight="1">
      <c r="B9" s="82" t="s">
        <v>385</v>
      </c>
      <c r="C9" s="81" t="s">
        <v>386</v>
      </c>
      <c r="D9" s="104" t="s">
        <v>387</v>
      </c>
      <c r="E9" s="89" t="s">
        <v>388</v>
      </c>
    </row>
    <row r="10" ht="30.0" customHeight="1">
      <c r="B10" s="82" t="s">
        <v>389</v>
      </c>
      <c r="C10" s="81" t="s">
        <v>390</v>
      </c>
      <c r="D10" s="104" t="s">
        <v>387</v>
      </c>
      <c r="E10" s="89" t="s">
        <v>391</v>
      </c>
    </row>
    <row r="11" ht="30.0" customHeight="1">
      <c r="B11" s="82" t="s">
        <v>392</v>
      </c>
      <c r="C11" s="81" t="s">
        <v>390</v>
      </c>
      <c r="D11" s="103" t="s">
        <v>376</v>
      </c>
      <c r="E11" s="89" t="s">
        <v>393</v>
      </c>
    </row>
    <row r="12" ht="30.0" customHeight="1">
      <c r="B12" s="82" t="s">
        <v>394</v>
      </c>
      <c r="C12" s="81" t="s">
        <v>390</v>
      </c>
      <c r="D12" s="104" t="s">
        <v>387</v>
      </c>
      <c r="E12" s="89" t="s">
        <v>395</v>
      </c>
    </row>
    <row r="13" ht="30.0" customHeight="1">
      <c r="B13" s="82" t="s">
        <v>396</v>
      </c>
      <c r="C13" s="81" t="s">
        <v>397</v>
      </c>
      <c r="D13" s="105" t="s">
        <v>398</v>
      </c>
      <c r="E13" s="89" t="s">
        <v>399</v>
      </c>
    </row>
    <row r="15">
      <c r="B15" s="90" t="s">
        <v>400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E2"/>
  </mergeCells>
  <printOptions/>
  <pageMargins bottom="1.0" footer="0.0" header="0.0" left="0.2" right="0.2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22.0"/>
    <col customWidth="1" min="3" max="3" width="18.0"/>
    <col customWidth="1" min="4" max="4" width="16.0"/>
    <col customWidth="1" min="5" max="26" width="8.71"/>
  </cols>
  <sheetData>
    <row r="1">
      <c r="A1" s="5" t="s">
        <v>401</v>
      </c>
    </row>
    <row r="3">
      <c r="A3" s="106" t="s">
        <v>360</v>
      </c>
      <c r="B3" s="106" t="s">
        <v>402</v>
      </c>
      <c r="C3" s="106" t="s">
        <v>403</v>
      </c>
      <c r="D3" s="106" t="s">
        <v>404</v>
      </c>
    </row>
    <row r="4">
      <c r="A4" s="107" t="s">
        <v>363</v>
      </c>
      <c r="B4" s="107">
        <v>94.0</v>
      </c>
      <c r="C4" s="107">
        <v>58.0</v>
      </c>
      <c r="D4" s="108">
        <f t="shared" ref="D4:D8" si="1">C4/B4</f>
        <v>0.6170212766</v>
      </c>
    </row>
    <row r="5">
      <c r="A5" s="107" t="s">
        <v>364</v>
      </c>
      <c r="B5" s="107">
        <v>96.0</v>
      </c>
      <c r="C5" s="107">
        <v>96.0</v>
      </c>
      <c r="D5" s="108">
        <f t="shared" si="1"/>
        <v>1</v>
      </c>
    </row>
    <row r="6">
      <c r="A6" s="107" t="s">
        <v>365</v>
      </c>
      <c r="B6" s="107">
        <v>518.0</v>
      </c>
      <c r="C6" s="107">
        <v>462.0</v>
      </c>
      <c r="D6" s="108">
        <f t="shared" si="1"/>
        <v>0.8918918919</v>
      </c>
    </row>
    <row r="7">
      <c r="A7" s="107" t="s">
        <v>366</v>
      </c>
      <c r="B7" s="107">
        <v>234.0</v>
      </c>
      <c r="C7" s="107">
        <v>0.0</v>
      </c>
      <c r="D7" s="108">
        <f t="shared" si="1"/>
        <v>0</v>
      </c>
    </row>
    <row r="8">
      <c r="A8" s="107" t="s">
        <v>367</v>
      </c>
      <c r="B8" s="107">
        <v>66.0</v>
      </c>
      <c r="C8" s="107">
        <v>0.0</v>
      </c>
      <c r="D8" s="108">
        <f t="shared" si="1"/>
        <v>0</v>
      </c>
    </row>
    <row r="10">
      <c r="A10" s="106" t="s">
        <v>405</v>
      </c>
      <c r="B10" s="106" t="s">
        <v>406</v>
      </c>
      <c r="C10" s="106" t="s">
        <v>407</v>
      </c>
    </row>
    <row r="11">
      <c r="A11" s="107" t="s">
        <v>408</v>
      </c>
      <c r="B11" s="107">
        <v>70.0</v>
      </c>
      <c r="C11" s="109">
        <f>B11*('Parâmetros'!$C$17/'Parâmetros'!$C$23)</f>
        <v>69.98854525</v>
      </c>
    </row>
    <row r="12">
      <c r="A12" s="107" t="s">
        <v>409</v>
      </c>
      <c r="B12" s="107">
        <v>214.0</v>
      </c>
      <c r="C12" s="109">
        <f>B12*('Parâmetros'!$C$17/'Parâmetros'!$C$23)</f>
        <v>213.9649812</v>
      </c>
    </row>
    <row r="13">
      <c r="A13" s="107" t="s">
        <v>410</v>
      </c>
      <c r="B13" s="107">
        <v>616.0</v>
      </c>
      <c r="C13" s="109">
        <f>B13*('Parâmetros'!$C$17/'Parâmetros'!$C$23)</f>
        <v>615.8991982</v>
      </c>
    </row>
    <row r="14">
      <c r="A14" s="107" t="s">
        <v>411</v>
      </c>
      <c r="B14" s="107">
        <v>980.0</v>
      </c>
    </row>
    <row r="15">
      <c r="A15" s="107" t="s">
        <v>412</v>
      </c>
      <c r="B15" s="107">
        <v>1008.0</v>
      </c>
    </row>
    <row r="17">
      <c r="A17" s="106" t="s">
        <v>413</v>
      </c>
      <c r="B17" s="106" t="s">
        <v>414</v>
      </c>
      <c r="C17" s="106" t="s">
        <v>341</v>
      </c>
      <c r="D17" s="106" t="s">
        <v>340</v>
      </c>
    </row>
    <row r="18">
      <c r="A18" s="107" t="s">
        <v>61</v>
      </c>
      <c r="B18" s="108">
        <f t="shared" ref="B18:B23" si="2">C18/D18</f>
        <v>0.8875</v>
      </c>
      <c r="C18" s="107">
        <v>142.0</v>
      </c>
      <c r="D18" s="107">
        <v>160.0</v>
      </c>
    </row>
    <row r="19">
      <c r="A19" s="107" t="s">
        <v>119</v>
      </c>
      <c r="B19" s="108">
        <f t="shared" si="2"/>
        <v>0.6125</v>
      </c>
      <c r="C19" s="107">
        <v>49.0</v>
      </c>
      <c r="D19" s="107">
        <v>80.0</v>
      </c>
    </row>
    <row r="20">
      <c r="A20" s="107" t="s">
        <v>166</v>
      </c>
      <c r="B20" s="108">
        <f t="shared" si="2"/>
        <v>0.8272727273</v>
      </c>
      <c r="C20" s="107">
        <v>273.0</v>
      </c>
      <c r="D20" s="107">
        <v>330.0</v>
      </c>
    </row>
    <row r="21" ht="15.75" customHeight="1">
      <c r="A21" s="107" t="s">
        <v>170</v>
      </c>
      <c r="B21" s="108">
        <f t="shared" si="2"/>
        <v>0.7787878788</v>
      </c>
      <c r="C21" s="107">
        <v>257.0</v>
      </c>
      <c r="D21" s="107">
        <v>330.0</v>
      </c>
    </row>
    <row r="22" ht="15.75" customHeight="1">
      <c r="A22" s="107" t="s">
        <v>222</v>
      </c>
      <c r="B22" s="108">
        <f t="shared" si="2"/>
        <v>0.9363636364</v>
      </c>
      <c r="C22" s="107">
        <v>309.0</v>
      </c>
      <c r="D22" s="107">
        <v>330.0</v>
      </c>
    </row>
    <row r="23" ht="15.75" customHeight="1">
      <c r="A23" s="107" t="s">
        <v>283</v>
      </c>
      <c r="B23" s="108">
        <f t="shared" si="2"/>
        <v>0.85</v>
      </c>
      <c r="C23" s="107">
        <v>17.0</v>
      </c>
      <c r="D23" s="107">
        <v>20.0</v>
      </c>
    </row>
    <row r="24" ht="15.75" customHeight="1"/>
    <row r="25" ht="15.75" customHeight="1">
      <c r="A25" s="106" t="s">
        <v>306</v>
      </c>
      <c r="B25" s="106" t="s">
        <v>415</v>
      </c>
    </row>
    <row r="26" ht="15.75" customHeight="1">
      <c r="A26" s="107" t="s">
        <v>64</v>
      </c>
      <c r="B26" s="107">
        <v>48.0</v>
      </c>
    </row>
    <row r="27" ht="15.75" customHeight="1">
      <c r="A27" s="107" t="s">
        <v>63</v>
      </c>
      <c r="B27" s="107">
        <v>47.0</v>
      </c>
    </row>
    <row r="28" ht="15.75" customHeight="1">
      <c r="A28" s="107" t="s">
        <v>60</v>
      </c>
      <c r="B28" s="107">
        <v>30.0</v>
      </c>
    </row>
    <row r="29" ht="15.75" customHeight="1">
      <c r="A29" s="107" t="s">
        <v>330</v>
      </c>
      <c r="B29" s="107">
        <v>13.0</v>
      </c>
    </row>
    <row r="30" ht="15.75" customHeight="1">
      <c r="A30" s="107" t="s">
        <v>328</v>
      </c>
      <c r="B30" s="107">
        <v>6.0</v>
      </c>
    </row>
    <row r="31" ht="15.75" customHeight="1"/>
    <row r="32" ht="15.75" customHeight="1">
      <c r="A32" s="106" t="s">
        <v>360</v>
      </c>
      <c r="B32" s="106" t="s">
        <v>361</v>
      </c>
    </row>
    <row r="33" ht="15.75" customHeight="1">
      <c r="A33" s="107" t="s">
        <v>363</v>
      </c>
      <c r="B33" s="107">
        <v>4800.0</v>
      </c>
    </row>
    <row r="34" ht="15.75" customHeight="1">
      <c r="A34" s="107" t="s">
        <v>364</v>
      </c>
      <c r="B34" s="107">
        <v>3894.0</v>
      </c>
    </row>
    <row r="35" ht="15.75" customHeight="1">
      <c r="A35" s="107" t="s">
        <v>365</v>
      </c>
      <c r="B35" s="107">
        <v>16874.0</v>
      </c>
    </row>
    <row r="36" ht="15.75" customHeight="1">
      <c r="A36" s="107" t="s">
        <v>366</v>
      </c>
      <c r="B36" s="107">
        <v>6490.0</v>
      </c>
    </row>
    <row r="37" ht="15.75" customHeight="1">
      <c r="A37" s="107" t="s">
        <v>367</v>
      </c>
      <c r="B37" s="107">
        <v>5192.0</v>
      </c>
    </row>
    <row r="38" ht="15.75" customHeight="1"/>
    <row r="39" ht="15.75" customHeight="1"/>
    <row r="40" ht="15.75" customHeight="1"/>
    <row r="41" ht="15.75" customHeight="1"/>
    <row r="42" ht="15.75" customHeight="1">
      <c r="A42" s="5" t="s">
        <v>416</v>
      </c>
    </row>
    <row r="43" ht="15.75" customHeight="1">
      <c r="A43" s="107" t="s">
        <v>417</v>
      </c>
      <c r="B43" s="110">
        <f>'Parâmetros'!$C$17/'Parâmetros'!$C$23</f>
        <v>0.9998363607</v>
      </c>
    </row>
    <row r="44" ht="15.75" customHeight="1">
      <c r="A44" s="107" t="s">
        <v>418</v>
      </c>
      <c r="B44" s="111">
        <f>'Parâmetros'!$C$17*'Parâmetros'!$C$13</f>
        <v>19826.95</v>
      </c>
    </row>
    <row r="45" ht="15.75" customHeight="1">
      <c r="A45" s="107" t="s">
        <v>419</v>
      </c>
      <c r="B45" s="107">
        <f>('Parâmetros'!$C$17*'Parâmetros'!$C$13)/'Parâmetros'!$C$18</f>
        <v>1.000047917</v>
      </c>
    </row>
    <row r="46" ht="15.75" customHeight="1">
      <c r="A46" s="107" t="s">
        <v>420</v>
      </c>
      <c r="B46" s="111">
        <f>'Parâmetros'!$C$23*'Parâmetros'!$C$13</f>
        <v>19830.195</v>
      </c>
    </row>
    <row r="47" ht="15.75" customHeight="1">
      <c r="A47" s="107" t="s">
        <v>421</v>
      </c>
      <c r="B47" s="112">
        <f>('Parâmetros'!$C$17*'Parâmetros'!$C$13)-'Parâmetros'!$C$18</f>
        <v>0.95</v>
      </c>
    </row>
    <row r="48" ht="15.75" customHeight="1">
      <c r="A48" s="107" t="s">
        <v>422</v>
      </c>
      <c r="B48" s="107">
        <f>'Parâmetros'!$C$18/'Parâmetros'!$C$13</f>
        <v>0.6109707242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2026-05-31T18:54:46Z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