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Completo" sheetId="1" r:id="rId4"/>
    <sheet state="visible" name="Comparativo TAP" sheetId="2" r:id="rId5"/>
    <sheet state="visible" name="Análise de Custos" sheetId="3" r:id="rId6"/>
  </sheets>
  <definedNames/>
  <calcPr/>
  <extLst>
    <ext uri="GoogleSheetsCustomDataVersion2">
      <go:sheetsCustomData xmlns:go="http://customooxmlschemas.google.com/" r:id="rId7" roundtripDataChecksum="dLHaWiL0BOmnSEyk/ysqUqchiUbrTduSidH5Xzj+BKI="/>
    </ext>
  </extLst>
</workbook>
</file>

<file path=xl/sharedStrings.xml><?xml version="1.0" encoding="utf-8"?>
<sst xmlns="http://schemas.openxmlformats.org/spreadsheetml/2006/main" count="667" uniqueCount="354">
  <si>
    <t>KYBERNUS CLI – CRONOGRAMA COMPLETO (fonte: Cronograma.xlsx)</t>
  </si>
  <si>
    <t>Horas = horas efetivas por tarefa conforme Cronograma.xlsx. Totais validados: GP 142h | PM 49h | Dev#1 273h | Dev#2 257h | Dev#3 309h | MKT 17h</t>
  </si>
  <si>
    <t>ID</t>
  </si>
  <si>
    <t>Sub</t>
  </si>
  <si>
    <t>Tarefa</t>
  </si>
  <si>
    <t>Início</t>
  </si>
  <si>
    <t>Término</t>
  </si>
  <si>
    <t>Dur(du)</t>
  </si>
  <si>
    <t>Horas</t>
  </si>
  <si>
    <t>Responsável</t>
  </si>
  <si>
    <t>Predecessores</t>
  </si>
  <si>
    <t>FASE 1 – Gerenciamento do Projeto</t>
  </si>
  <si>
    <t>1.1</t>
  </si>
  <si>
    <t>Elaborar o Termo de Abertura do Projeto (TAP)</t>
  </si>
  <si>
    <t>04/03</t>
  </si>
  <si>
    <t>06/03</t>
  </si>
  <si>
    <t>GP</t>
  </si>
  <si>
    <t>Apresentar e obter aprovação da patrocinadora</t>
  </si>
  <si>
    <t>09/03</t>
  </si>
  <si>
    <t>4</t>
  </si>
  <si>
    <t>Designar formalmente o gerente do projeto</t>
  </si>
  <si>
    <t>PAT</t>
  </si>
  <si>
    <t>1.2</t>
  </si>
  <si>
    <t>Construir a EAP (fases e subentregas)</t>
  </si>
  <si>
    <t>10/03</t>
  </si>
  <si>
    <t>12/03</t>
  </si>
  <si>
    <t>GP+PM</t>
  </si>
  <si>
    <t>5</t>
  </si>
  <si>
    <t>Elaborar o Dicionário da EAP</t>
  </si>
  <si>
    <t>13/03</t>
  </si>
  <si>
    <t>8</t>
  </si>
  <si>
    <t>Definir e documentar processo de controle de mudanças</t>
  </si>
  <si>
    <t>16/03</t>
  </si>
  <si>
    <t>1.3</t>
  </si>
  <si>
    <t>Identificar e classificar os stakeholders</t>
  </si>
  <si>
    <t>PM</t>
  </si>
  <si>
    <t>Elaborar mapa e registro de stakeholders</t>
  </si>
  <si>
    <t>12</t>
  </si>
  <si>
    <t>Definir estratégia de engajamento e plano de comunicação</t>
  </si>
  <si>
    <t>17/03</t>
  </si>
  <si>
    <t>13</t>
  </si>
  <si>
    <t>1.4</t>
  </si>
  <si>
    <t>Identificar e descrever os riscos</t>
  </si>
  <si>
    <t>18/03</t>
  </si>
  <si>
    <t>9</t>
  </si>
  <si>
    <t>Analisar probabilidade e impacto (matriz P×I)</t>
  </si>
  <si>
    <t>19/03</t>
  </si>
  <si>
    <t>16</t>
  </si>
  <si>
    <t>Definir planos de resposta e contingência</t>
  </si>
  <si>
    <t>20/03</t>
  </si>
  <si>
    <t>24/03</t>
  </si>
  <si>
    <t>17</t>
  </si>
  <si>
    <t>1.5</t>
  </si>
  <si>
    <t>Realizar reuniões semanais e registrar atas</t>
  </si>
  <si>
    <t>25/03</t>
  </si>
  <si>
    <t>01/07</t>
  </si>
  <si>
    <t>18</t>
  </si>
  <si>
    <t>Emitir status reports periódicos</t>
  </si>
  <si>
    <t>Monitorar cronograma, custos e riscos</t>
  </si>
  <si>
    <t>30/06</t>
  </si>
  <si>
    <t>1.6</t>
  </si>
  <si>
    <t>Elaborar relatório final de desempenho</t>
  </si>
  <si>
    <t>25/06</t>
  </si>
  <si>
    <t>26/06</t>
  </si>
  <si>
    <t>90,115</t>
  </si>
  <si>
    <t>Consolidar lições aprendidas com a equipe</t>
  </si>
  <si>
    <t>29/06</t>
  </si>
  <si>
    <t>24</t>
  </si>
  <si>
    <t>Obter aceite formal da patrocinadora</t>
  </si>
  <si>
    <t>25,116</t>
  </si>
  <si>
    <t>FASE 2 – Definição e Design</t>
  </si>
  <si>
    <t>2.1</t>
  </si>
  <si>
    <t>Levantar e documentar RFs e RNFs com stakeholders</t>
  </si>
  <si>
    <t>31/03</t>
  </si>
  <si>
    <t>PM+GP</t>
  </si>
  <si>
    <t>14,18</t>
  </si>
  <si>
    <t>Priorizar requisitos com PM (Alta/Média/Baixa)</t>
  </si>
  <si>
    <t>01/04</t>
  </si>
  <si>
    <t>02/04</t>
  </si>
  <si>
    <t>29</t>
  </si>
  <si>
    <t>Definir critérios de aceite por requisito</t>
  </si>
  <si>
    <t>03/04</t>
  </si>
  <si>
    <t>06/04</t>
  </si>
  <si>
    <t>30</t>
  </si>
  <si>
    <t>2.2</t>
  </si>
  <si>
    <t>Definir arquitetura dos 4 módulos do CLI</t>
  </si>
  <si>
    <t>07/04</t>
  </si>
  <si>
    <t>Dev #1+Dev #2+Dev #3</t>
  </si>
  <si>
    <t>31</t>
  </si>
  <si>
    <t>Especificar contratos de interface entre módulos</t>
  </si>
  <si>
    <t>08/04</t>
  </si>
  <si>
    <t>33</t>
  </si>
  <si>
    <t>Validar e decidir serviços externos</t>
  </si>
  <si>
    <t>09/04</t>
  </si>
  <si>
    <t>Dev #1+Dev #2+Dev #3+PM</t>
  </si>
  <si>
    <t>34</t>
  </si>
  <si>
    <t>Pesquisar e selecionar fornecedores dos serviços externos (Gemini, PostHog, Supabase, npm, Vercel)</t>
  </si>
  <si>
    <t>10/04</t>
  </si>
  <si>
    <t>1.0</t>
  </si>
  <si>
    <t>4.0</t>
  </si>
  <si>
    <t>35</t>
  </si>
  <si>
    <t>Avaliar planos gratuitos, limites técnicos e termos de uso (free tier)</t>
  </si>
  <si>
    <t>13/04</t>
  </si>
  <si>
    <t>Dev #1</t>
  </si>
  <si>
    <t>27</t>
  </si>
  <si>
    <t>Aprovar formalmente as aquisições com a patrocinadora (custo R$ 0 — planos gratuitos)</t>
  </si>
  <si>
    <t>14/04</t>
  </si>
  <si>
    <t>2.0</t>
  </si>
  <si>
    <t>28</t>
  </si>
  <si>
    <t>Provisionar contas e chaves de acesso (Google Gemini API, PostHog, Supabase)</t>
  </si>
  <si>
    <t>15/04</t>
  </si>
  <si>
    <t>6.0</t>
  </si>
  <si>
    <t>32</t>
  </si>
  <si>
    <t>Registrar conta/organização no npm e provisionar deploy na Vercel/Netlify</t>
  </si>
  <si>
    <t>16/04</t>
  </si>
  <si>
    <t>Dev #2</t>
  </si>
  <si>
    <t>Validar disponibilidade e limites dos serviços adquiridos (atende à necessidade do projeto)</t>
  </si>
  <si>
    <t>36</t>
  </si>
  <si>
    <t>2.3</t>
  </si>
  <si>
    <t>Especificar templates por stack (6 linguagens)</t>
  </si>
  <si>
    <t>Especificar templates por arquitetura</t>
  </si>
  <si>
    <t>37</t>
  </si>
  <si>
    <t>Especificar templates DevOps</t>
  </si>
  <si>
    <t>2.4</t>
  </si>
  <si>
    <t>Desenhar fluxo interativo com menus visuais</t>
  </si>
  <si>
    <t>Especificar flags não-interativas</t>
  </si>
  <si>
    <t>41</t>
  </si>
  <si>
    <t>Definir formato do painel de next steps</t>
  </si>
  <si>
    <t>Dev #3+PM</t>
  </si>
  <si>
    <t>2.5</t>
  </si>
  <si>
    <t>Revisar escopo técnico com toda a equipe</t>
  </si>
  <si>
    <t>38,39,42,43</t>
  </si>
  <si>
    <t>Registrar baseline do escopo e comunicar à equipe</t>
  </si>
  <si>
    <t>17/04</t>
  </si>
  <si>
    <t>45</t>
  </si>
  <si>
    <t>FASE 3 – Implementação das Funcionalidades</t>
  </si>
  <si>
    <t>3.1</t>
  </si>
  <si>
    <t>Implementar interface interativa com menus (RF01–RF04)</t>
  </si>
  <si>
    <t>22/04</t>
  </si>
  <si>
    <t>23/04</t>
  </si>
  <si>
    <t>46</t>
  </si>
  <si>
    <t>Implementar flags não-interativas e modo CI/CD (RF15)</t>
  </si>
  <si>
    <t>24/04</t>
  </si>
  <si>
    <t>49</t>
  </si>
  <si>
    <t>Implementar kybernus doctor — verificação de ambiente</t>
  </si>
  <si>
    <t>25/04</t>
  </si>
  <si>
    <t>50</t>
  </si>
  <si>
    <t>3.2</t>
  </si>
  <si>
    <t>Implementar geração de estrutura por stack + arquitetura</t>
  </si>
  <si>
    <t>28/04</t>
  </si>
  <si>
    <t>02/05</t>
  </si>
  <si>
    <t>51</t>
  </si>
  <si>
    <t>Implementar templates Node.js+Express e NestJS (RF21)</t>
  </si>
  <si>
    <t>05/05</t>
  </si>
  <si>
    <t>53</t>
  </si>
  <si>
    <t>Implementar templates FastAPI e Spring Boot (RF22,RF23)</t>
  </si>
  <si>
    <t>46,53</t>
  </si>
  <si>
    <t>Implementar templates Next.js e n8n</t>
  </si>
  <si>
    <t>06/05</t>
  </si>
  <si>
    <t>55</t>
  </si>
  <si>
    <t>Gerar arquivos base: .env, ESLint, Prettier (RF20)</t>
  </si>
  <si>
    <t>54</t>
  </si>
  <si>
    <t>3.3</t>
  </si>
  <si>
    <t>Implementar geração de Docker + GH Actions + Terraform</t>
  </si>
  <si>
    <t>07/05</t>
  </si>
  <si>
    <t>12/05</t>
  </si>
  <si>
    <t>56</t>
  </si>
  <si>
    <t>Implementar kybernus deploy (Vercel, Railway…) (RF13)</t>
  </si>
  <si>
    <t>13/05</t>
  </si>
  <si>
    <t>59</t>
  </si>
  <si>
    <t>Implementar suporte a template customizado via GitHub</t>
  </si>
  <si>
    <t>14/05</t>
  </si>
  <si>
    <t>60</t>
  </si>
  <si>
    <t>3.4</t>
  </si>
  <si>
    <t>Implementar kybernus add swagger, redis (RF08,RF09)</t>
  </si>
  <si>
    <t>15/05</t>
  </si>
  <si>
    <t>16/05</t>
  </si>
  <si>
    <t>61,57</t>
  </si>
  <si>
    <t>Implementar kybernus add websocket, husky (RF10,RF11)</t>
  </si>
  <si>
    <t>19/05</t>
  </si>
  <si>
    <t>63</t>
  </si>
  <si>
    <t>Implementar kybernus auth — boilerplate JWT (RF12)</t>
  </si>
  <si>
    <t>20/05</t>
  </si>
  <si>
    <t>64</t>
  </si>
  <si>
    <t>Garantir compatibilidade com projetos externos (RF07)</t>
  </si>
  <si>
    <t>21/05</t>
  </si>
  <si>
    <t>65</t>
  </si>
  <si>
    <t>3.5</t>
  </si>
  <si>
    <t>Integrar API Google Gemini ao módulo (RF06)</t>
  </si>
  <si>
    <t>Dev #3</t>
  </si>
  <si>
    <t>46,56</t>
  </si>
  <si>
    <t>Implementar geração automática de README e guias</t>
  </si>
  <si>
    <t>68</t>
  </si>
  <si>
    <t>Implementar tratamento de falha (API indisponível)</t>
  </si>
  <si>
    <t>69</t>
  </si>
  <si>
    <t>3.6</t>
  </si>
  <si>
    <t>Implementar coleta anônima via PostHog (RF19)</t>
  </si>
  <si>
    <t>70</t>
  </si>
  <si>
    <t>Implementar notificação no 1º uso + opt-out</t>
  </si>
  <si>
    <t>72</t>
  </si>
  <si>
    <t>Elaborar e implementar Política de Privacidade (LGPD)</t>
  </si>
  <si>
    <t>22/05</t>
  </si>
  <si>
    <t>27/05</t>
  </si>
  <si>
    <t>Dev #3+GP</t>
  </si>
  <si>
    <t>73</t>
  </si>
  <si>
    <t>120.0</t>
  </si>
  <si>
    <t>3.8</t>
  </si>
  <si>
    <t>Mapear novo perfil de acesso (MUD-02)</t>
  </si>
  <si>
    <t>01/06</t>
  </si>
  <si>
    <t>02/06</t>
  </si>
  <si>
    <t>3.0</t>
  </si>
  <si>
    <t>74</t>
  </si>
  <si>
    <t>121.0</t>
  </si>
  <si>
    <t>Implementar novo perfil de acesso (MUD-02)</t>
  </si>
  <si>
    <t>04/06</t>
  </si>
  <si>
    <t>15.0</t>
  </si>
  <si>
    <t>120</t>
  </si>
  <si>
    <t>122.0</t>
  </si>
  <si>
    <t>Implementar regras de permissão (MUD-02)</t>
  </si>
  <si>
    <t>05/06</t>
  </si>
  <si>
    <t>10.0</t>
  </si>
  <si>
    <t>121</t>
  </si>
  <si>
    <t>123.0</t>
  </si>
  <si>
    <t>Ajustes de segurança e revisão (MUD-02)</t>
  </si>
  <si>
    <t>08/06</t>
  </si>
  <si>
    <t>122</t>
  </si>
  <si>
    <t>3.7</t>
  </si>
  <si>
    <t>Publicar ferramenta no npm (RF24)</t>
  </si>
  <si>
    <t>28/05</t>
  </si>
  <si>
    <t>30/05</t>
  </si>
  <si>
    <t>57,66,70,74</t>
  </si>
  <si>
    <t>Validar suporte Win/macOS/Linux (RNF01)</t>
  </si>
  <si>
    <t>76</t>
  </si>
  <si>
    <t>Configurar CI/CD do próprio projeto Kybernus</t>
  </si>
  <si>
    <t>66,76</t>
  </si>
  <si>
    <t>FASE 4 – Testes e Documentação</t>
  </si>
  <si>
    <t>4.1</t>
  </si>
  <si>
    <t>Escrever testes unitários por módulo (RNF04)</t>
  </si>
  <si>
    <t>Dev #1+Dev #2</t>
  </si>
  <si>
    <t>77,78</t>
  </si>
  <si>
    <t>Escrever testes de integração entre módulos</t>
  </si>
  <si>
    <t>09/06</t>
  </si>
  <si>
    <t>81</t>
  </si>
  <si>
    <t>Validar sintaxe de arquivos gerados</t>
  </si>
  <si>
    <t>4.2</t>
  </si>
  <si>
    <t>Recrutar ≥5 desenvolvedores externos para testes</t>
  </si>
  <si>
    <t>10/06</t>
  </si>
  <si>
    <t>83,82</t>
  </si>
  <si>
    <t>Conduzir sessões de instalação e geração sem auxílio</t>
  </si>
  <si>
    <t>11/06</t>
  </si>
  <si>
    <t>Dev #1+Dev #2+GP</t>
  </si>
  <si>
    <t>85</t>
  </si>
  <si>
    <t>Registrar resultados e validar meta de 80% de sucesso</t>
  </si>
  <si>
    <t>12/06</t>
  </si>
  <si>
    <t>86</t>
  </si>
  <si>
    <t>4.3</t>
  </si>
  <si>
    <t>Verificar checklist formal dos critérios do TAP</t>
  </si>
  <si>
    <t>15/06</t>
  </si>
  <si>
    <t>17/06</t>
  </si>
  <si>
    <t>87</t>
  </si>
  <si>
    <t>Elaborar relatório de validação interna</t>
  </si>
  <si>
    <t>18/06</t>
  </si>
  <si>
    <t>20/06</t>
  </si>
  <si>
    <t>89</t>
  </si>
  <si>
    <t>4.4</t>
  </si>
  <si>
    <t>Elaborar README completo do repositório modelo GitHub</t>
  </si>
  <si>
    <t>16/06</t>
  </si>
  <si>
    <t>77</t>
  </si>
  <si>
    <t>Elaborar guia de contribuição open-source</t>
  </si>
  <si>
    <t>92</t>
  </si>
  <si>
    <t>Documentar módulos internos</t>
  </si>
  <si>
    <t>23/06</t>
  </si>
  <si>
    <t>4.5</t>
  </si>
  <si>
    <t>Escrever guia de instalação e uso</t>
  </si>
  <si>
    <t>Dev #1+PM</t>
  </si>
  <si>
    <t>Documentar referência de comandos</t>
  </si>
  <si>
    <t>19/06</t>
  </si>
  <si>
    <t>96</t>
  </si>
  <si>
    <t>Elaborar FAQ e troubleshooting</t>
  </si>
  <si>
    <t>FASE 5 – Divulgação e Encerramento</t>
  </si>
  <si>
    <t>5.1</t>
  </si>
  <si>
    <t>Desenvolver conteúdo e layout da landing page (RF25)</t>
  </si>
  <si>
    <t>Dev #1+MKT</t>
  </si>
  <si>
    <t>93,97,98</t>
  </si>
  <si>
    <t>Publicar landing page e validar links</t>
  </si>
  <si>
    <t>24/06</t>
  </si>
  <si>
    <t>101</t>
  </si>
  <si>
    <t>5.2</t>
  </si>
  <si>
    <t>Configurar repositório público c/ README e CONTRIBUTING</t>
  </si>
  <si>
    <t>93,94</t>
  </si>
  <si>
    <t>Criar templates de issues e pull requests</t>
  </si>
  <si>
    <t>104</t>
  </si>
  <si>
    <t>5.3</t>
  </si>
  <si>
    <t>Definir plano de canais (dev.to, Product Hunt, redes)</t>
  </si>
  <si>
    <t>MKT</t>
  </si>
  <si>
    <t>90</t>
  </si>
  <si>
    <t>Produzir conteúdo para divulgação</t>
  </si>
  <si>
    <t>107</t>
  </si>
  <si>
    <t>Redigir comunicado oficial de lançamento</t>
  </si>
  <si>
    <t>22/06</t>
  </si>
  <si>
    <t>MKT+GP</t>
  </si>
  <si>
    <t>5.4</t>
  </si>
  <si>
    <t>Executar deploy final e publicar versão npm</t>
  </si>
  <si>
    <t>102,105</t>
  </si>
  <si>
    <t>Executar campanha de divulgação nos canais definidos</t>
  </si>
  <si>
    <t>111</t>
  </si>
  <si>
    <t>Ativar monitoramento via PostHog pós-lançamento</t>
  </si>
  <si>
    <t>5.5</t>
  </si>
  <si>
    <t>Coletar feedback e métricas de adoção iniciais</t>
  </si>
  <si>
    <t>Apresentar relatório final à patrocinadora</t>
  </si>
  <si>
    <t>Obter aceite formal e encerrar o projeto</t>
  </si>
  <si>
    <t>116</t>
  </si>
  <si>
    <t>TOTAL GERAL DE HORAS DO PROJETO</t>
  </si>
  <si>
    <t>KYBERNUS CLI – COMPARATIVO DE HORAS: PLANEJADO vs. LIMITE TAP</t>
  </si>
  <si>
    <t>Totais reais extraídos do GanttProject (rodapé do Cronograma.xlsx). Limites conforme TAP Seção 9.</t>
  </si>
  <si>
    <t>Membro</t>
  </si>
  <si>
    <t>Função</t>
  </si>
  <si>
    <t>H/Mês (TAP)</t>
  </si>
  <si>
    <t>Meses (TAP)</t>
  </si>
  <si>
    <t>Limite TAP (h)</t>
  </si>
  <si>
    <t>H Planejadas</t>
  </si>
  <si>
    <t>Saldo (h)</t>
  </si>
  <si>
    <t>% Utiliz.</t>
  </si>
  <si>
    <t>Status</t>
  </si>
  <si>
    <t>Gerente de Projetos</t>
  </si>
  <si>
    <t>88.8%</t>
  </si>
  <si>
    <t>✅ OK</t>
  </si>
  <si>
    <t>Product Manager</t>
  </si>
  <si>
    <t>61.25%</t>
  </si>
  <si>
    <t>Desenvolvedor</t>
  </si>
  <si>
    <t>82.7%</t>
  </si>
  <si>
    <t>77.9%</t>
  </si>
  <si>
    <t>93.6%</t>
  </si>
  <si>
    <t>Marketing</t>
  </si>
  <si>
    <t>85.0%</t>
  </si>
  <si>
    <t>KYBERNUS CLI – ANÁLISE FINANCEIRA</t>
  </si>
  <si>
    <t>CUSTO POR RECURSO HUMANO (TAP Seção 9 vs. Horas Planejadas)</t>
  </si>
  <si>
    <t>R$/h</t>
  </si>
  <si>
    <t>Custo Planejado (R$)</t>
  </si>
  <si>
    <t>Custo TAP (R$)</t>
  </si>
  <si>
    <t>Diferença (R$)</t>
  </si>
  <si>
    <t>TOTAL</t>
  </si>
  <si>
    <t>INFRAESTRUTURA (conforme TAP Seção 9)</t>
  </si>
  <si>
    <t>Item</t>
  </si>
  <si>
    <t>Descrição</t>
  </si>
  <si>
    <t>Custo</t>
  </si>
  <si>
    <t>Notebooks</t>
  </si>
  <si>
    <t>Equipamentos próprios da equipe</t>
  </si>
  <si>
    <t>Supabase</t>
  </si>
  <si>
    <t>Plano gratuito (dentro dos limites)</t>
  </si>
  <si>
    <t>PostHog</t>
  </si>
  <si>
    <t>npm publish</t>
  </si>
  <si>
    <t>Publicação do pacote</t>
  </si>
  <si>
    <t>📌 O custo planejado total (R$ 29.130) é R$ 3.320 abaixo do orçamento TAP (R$ 32.450), pois as horas reais planejadas ficaram abaixo do teto contratual de cada membro. A economia ocorre principalmente nos Devs #1 e #2.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</si>
</sst>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333333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sz val="9.0"/>
      <color theme="1"/>
      <name val="Arial"/>
    </font>
    <font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i/>
      <sz val="9.0"/>
      <color rgb="FF7B3F00"/>
      <name val="Arial"/>
    </font>
    <font>
      <i/>
      <sz val="9.0"/>
      <color rgb="FF1A5276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D9EAD3"/>
        <bgColor rgb="FFD9EAD3"/>
      </patternFill>
    </fill>
    <fill>
      <patternFill patternType="solid">
        <fgColor rgb="FFE2EFDA"/>
        <bgColor rgb="FFE2EFDA"/>
      </patternFill>
    </fill>
    <fill>
      <patternFill patternType="solid">
        <fgColor rgb="FF2E75B6"/>
        <bgColor rgb="FF2E75B6"/>
      </patternFill>
    </fill>
    <fill>
      <patternFill patternType="solid">
        <fgColor rgb="FFF5F9FF"/>
        <bgColor rgb="FFF5F9FF"/>
      </patternFill>
    </fill>
    <fill>
      <patternFill patternType="solid">
        <fgColor rgb="FFD6E4F7"/>
        <bgColor rgb="FFD6E4F7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4" fillId="2" fontId="4" numFmtId="0" xfId="0" applyAlignment="1" applyBorder="1" applyFont="1">
      <alignment horizontal="center" vertical="center"/>
    </xf>
    <xf borderId="5" fillId="2" fontId="5" numFmtId="0" xfId="0" applyAlignment="1" applyBorder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4" fillId="4" fontId="6" numFmtId="0" xfId="0" applyAlignment="1" applyBorder="1" applyFill="1" applyFont="1">
      <alignment horizontal="center" vertical="center"/>
    </xf>
    <xf borderId="4" fillId="4" fontId="6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left" vertical="center"/>
    </xf>
    <xf borderId="4" fillId="5" fontId="6" numFmtId="0" xfId="0" applyAlignment="1" applyBorder="1" applyFill="1" applyFont="1">
      <alignment horizontal="center" readingOrder="0" vertical="center"/>
    </xf>
    <xf borderId="4" fillId="5" fontId="6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left" vertical="center"/>
    </xf>
    <xf borderId="4" fillId="2" fontId="5" numFmtId="0" xfId="0" applyAlignment="1" applyBorder="1" applyFont="1">
      <alignment horizontal="center" vertical="center"/>
    </xf>
    <xf borderId="4" fillId="0" fontId="7" numFmtId="0" xfId="0" applyAlignment="1" applyBorder="1" applyFont="1">
      <alignment vertical="bottom"/>
    </xf>
    <xf borderId="0" fillId="0" fontId="7" numFmtId="0" xfId="0" applyFont="1"/>
    <xf borderId="1" fillId="3" fontId="3" numFmtId="0" xfId="0" applyAlignment="1" applyBorder="1" applyFont="1">
      <alignment horizontal="left" vertical="center"/>
    </xf>
    <xf borderId="4" fillId="6" fontId="8" numFmtId="0" xfId="0" applyAlignment="1" applyBorder="1" applyFill="1" applyFont="1">
      <alignment horizontal="left" vertical="center"/>
    </xf>
    <xf borderId="4" fillId="6" fontId="9" numFmtId="0" xfId="0" applyAlignment="1" applyBorder="1" applyFont="1">
      <alignment horizontal="center" vertical="center"/>
    </xf>
    <xf borderId="4" fillId="7" fontId="8" numFmtId="0" xfId="0" applyAlignment="1" applyBorder="1" applyFill="1" applyFont="1">
      <alignment horizontal="left" vertical="center"/>
    </xf>
    <xf borderId="4" fillId="7" fontId="9" numFmtId="0" xfId="0" applyAlignment="1" applyBorder="1" applyFont="1">
      <alignment horizontal="center" vertical="center"/>
    </xf>
    <xf borderId="0" fillId="0" fontId="10" numFmtId="0" xfId="0" applyAlignment="1" applyFont="1">
      <alignment horizontal="left" shrinkToFit="0" vertical="center" wrapText="1"/>
    </xf>
    <xf borderId="5" fillId="8" fontId="5" numFmtId="0" xfId="0" applyAlignment="1" applyBorder="1" applyFill="1" applyFont="1">
      <alignment horizontal="center" vertical="center"/>
    </xf>
    <xf borderId="4" fillId="2" fontId="5" numFmtId="0" xfId="0" applyAlignment="1" applyBorder="1" applyFont="1">
      <alignment horizontal="left" vertical="center"/>
    </xf>
    <xf borderId="1" fillId="8" fontId="5" numFmtId="0" xfId="0" applyAlignment="1" applyBorder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8" fillId="4" fontId="8" numFmtId="0" xfId="0" applyAlignment="1" applyBorder="1" applyFont="1">
      <alignment horizontal="left" vertical="center"/>
    </xf>
    <xf borderId="8" fillId="4" fontId="9" numFmtId="0" xfId="0" applyAlignment="1" applyBorder="1" applyFont="1">
      <alignment horizontal="left" vertical="center"/>
    </xf>
    <xf borderId="8" fillId="4" fontId="9" numFmtId="0" xfId="0" applyAlignment="1" applyBorder="1" applyFont="1">
      <alignment horizontal="center" vertical="center"/>
    </xf>
    <xf borderId="8" fillId="9" fontId="8" numFmtId="0" xfId="0" applyAlignment="1" applyBorder="1" applyFill="1" applyFont="1">
      <alignment horizontal="left" vertical="center"/>
    </xf>
    <xf borderId="8" fillId="9" fontId="9" numFmtId="0" xfId="0" applyAlignment="1" applyBorder="1" applyFont="1">
      <alignment horizontal="left" vertical="center"/>
    </xf>
    <xf borderId="8" fillId="9" fontId="9" numFmtId="0" xfId="0" applyAlignment="1" applyBorder="1" applyFont="1">
      <alignment horizontal="center" vertical="center"/>
    </xf>
    <xf borderId="1" fillId="10" fontId="11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7.0"/>
    <col customWidth="1" min="3" max="3" width="52.0"/>
    <col customWidth="1" min="4" max="5" width="9.0"/>
    <col customWidth="1" min="6" max="6" width="8.0"/>
    <col customWidth="1" min="7" max="7" width="7.0"/>
    <col customWidth="1" min="8" max="8" width="24.0"/>
    <col customWidth="1" min="9" max="9" width="13.0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3"/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>
      <c r="A4" s="6" t="s">
        <v>11</v>
      </c>
      <c r="B4" s="7"/>
      <c r="C4" s="7"/>
      <c r="D4" s="7"/>
      <c r="E4" s="7"/>
      <c r="F4" s="7"/>
      <c r="G4" s="7"/>
      <c r="H4" s="7"/>
      <c r="I4" s="8"/>
    </row>
    <row r="5">
      <c r="A5" s="9">
        <v>4.0</v>
      </c>
      <c r="B5" s="9" t="s">
        <v>12</v>
      </c>
      <c r="C5" s="10" t="s">
        <v>13</v>
      </c>
      <c r="D5" s="9" t="s">
        <v>14</v>
      </c>
      <c r="E5" s="9" t="s">
        <v>15</v>
      </c>
      <c r="F5" s="9">
        <v>4.0</v>
      </c>
      <c r="G5" s="9">
        <v>8.0</v>
      </c>
      <c r="H5" s="11" t="s">
        <v>16</v>
      </c>
      <c r="I5" s="9"/>
    </row>
    <row r="6">
      <c r="A6" s="9">
        <v>5.0</v>
      </c>
      <c r="B6" s="9" t="s">
        <v>12</v>
      </c>
      <c r="C6" s="10" t="s">
        <v>17</v>
      </c>
      <c r="D6" s="9" t="s">
        <v>18</v>
      </c>
      <c r="E6" s="9" t="s">
        <v>18</v>
      </c>
      <c r="F6" s="9">
        <v>2.0</v>
      </c>
      <c r="G6" s="9">
        <v>4.0</v>
      </c>
      <c r="H6" s="11" t="s">
        <v>16</v>
      </c>
      <c r="I6" s="9" t="s">
        <v>19</v>
      </c>
    </row>
    <row r="7">
      <c r="A7" s="9">
        <v>6.0</v>
      </c>
      <c r="B7" s="9" t="s">
        <v>12</v>
      </c>
      <c r="C7" s="10" t="s">
        <v>20</v>
      </c>
      <c r="D7" s="9" t="s">
        <v>18</v>
      </c>
      <c r="E7" s="9" t="s">
        <v>18</v>
      </c>
      <c r="F7" s="9">
        <v>1.0</v>
      </c>
      <c r="G7" s="9">
        <v>2.0</v>
      </c>
      <c r="H7" s="11" t="s">
        <v>21</v>
      </c>
      <c r="I7" s="9" t="s">
        <v>19</v>
      </c>
    </row>
    <row r="8">
      <c r="A8" s="9">
        <v>8.0</v>
      </c>
      <c r="B8" s="9" t="s">
        <v>22</v>
      </c>
      <c r="C8" s="10" t="s">
        <v>23</v>
      </c>
      <c r="D8" s="9" t="s">
        <v>24</v>
      </c>
      <c r="E8" s="9" t="s">
        <v>25</v>
      </c>
      <c r="F8" s="9">
        <v>4.0</v>
      </c>
      <c r="G8" s="9">
        <v>8.0</v>
      </c>
      <c r="H8" s="11" t="s">
        <v>26</v>
      </c>
      <c r="I8" s="9" t="s">
        <v>27</v>
      </c>
    </row>
    <row r="9">
      <c r="A9" s="9">
        <v>9.0</v>
      </c>
      <c r="B9" s="9" t="s">
        <v>22</v>
      </c>
      <c r="C9" s="10" t="s">
        <v>28</v>
      </c>
      <c r="D9" s="9" t="s">
        <v>29</v>
      </c>
      <c r="E9" s="9" t="s">
        <v>29</v>
      </c>
      <c r="F9" s="9">
        <v>2.0</v>
      </c>
      <c r="G9" s="9">
        <v>4.0</v>
      </c>
      <c r="H9" s="11" t="s">
        <v>16</v>
      </c>
      <c r="I9" s="9" t="s">
        <v>30</v>
      </c>
    </row>
    <row r="10">
      <c r="A10" s="9">
        <v>10.0</v>
      </c>
      <c r="B10" s="9" t="s">
        <v>22</v>
      </c>
      <c r="C10" s="10" t="s">
        <v>31</v>
      </c>
      <c r="D10" s="9" t="s">
        <v>32</v>
      </c>
      <c r="E10" s="9" t="s">
        <v>32</v>
      </c>
      <c r="F10" s="9">
        <v>2.0</v>
      </c>
      <c r="G10" s="9">
        <v>4.0</v>
      </c>
      <c r="H10" s="11" t="s">
        <v>16</v>
      </c>
      <c r="I10" s="9" t="s">
        <v>30</v>
      </c>
    </row>
    <row r="11">
      <c r="A11" s="9">
        <v>12.0</v>
      </c>
      <c r="B11" s="9" t="s">
        <v>33</v>
      </c>
      <c r="C11" s="10" t="s">
        <v>34</v>
      </c>
      <c r="D11" s="9" t="s">
        <v>29</v>
      </c>
      <c r="E11" s="9" t="s">
        <v>29</v>
      </c>
      <c r="F11" s="9">
        <v>2.0</v>
      </c>
      <c r="G11" s="9">
        <v>4.0</v>
      </c>
      <c r="H11" s="11" t="s">
        <v>35</v>
      </c>
      <c r="I11" s="9" t="s">
        <v>27</v>
      </c>
    </row>
    <row r="12">
      <c r="A12" s="9">
        <v>13.0</v>
      </c>
      <c r="B12" s="9" t="s">
        <v>33</v>
      </c>
      <c r="C12" s="10" t="s">
        <v>36</v>
      </c>
      <c r="D12" s="9" t="s">
        <v>32</v>
      </c>
      <c r="E12" s="9" t="s">
        <v>32</v>
      </c>
      <c r="F12" s="9">
        <v>2.0</v>
      </c>
      <c r="G12" s="9">
        <v>4.0</v>
      </c>
      <c r="H12" s="11" t="s">
        <v>35</v>
      </c>
      <c r="I12" s="9" t="s">
        <v>37</v>
      </c>
    </row>
    <row r="13">
      <c r="A13" s="9">
        <v>14.0</v>
      </c>
      <c r="B13" s="9" t="s">
        <v>33</v>
      </c>
      <c r="C13" s="10" t="s">
        <v>38</v>
      </c>
      <c r="D13" s="9" t="s">
        <v>39</v>
      </c>
      <c r="E13" s="9" t="s">
        <v>39</v>
      </c>
      <c r="F13" s="9">
        <v>2.0</v>
      </c>
      <c r="G13" s="9">
        <v>4.0</v>
      </c>
      <c r="H13" s="11" t="s">
        <v>16</v>
      </c>
      <c r="I13" s="9" t="s">
        <v>40</v>
      </c>
    </row>
    <row r="14">
      <c r="A14" s="9">
        <v>16.0</v>
      </c>
      <c r="B14" s="9" t="s">
        <v>41</v>
      </c>
      <c r="C14" s="10" t="s">
        <v>42</v>
      </c>
      <c r="D14" s="9" t="s">
        <v>43</v>
      </c>
      <c r="E14" s="9" t="s">
        <v>43</v>
      </c>
      <c r="F14" s="9">
        <v>2.0</v>
      </c>
      <c r="G14" s="9">
        <v>4.0</v>
      </c>
      <c r="H14" s="11" t="s">
        <v>16</v>
      </c>
      <c r="I14" s="9" t="s">
        <v>44</v>
      </c>
    </row>
    <row r="15">
      <c r="A15" s="9">
        <v>17.0</v>
      </c>
      <c r="B15" s="9" t="s">
        <v>41</v>
      </c>
      <c r="C15" s="10" t="s">
        <v>45</v>
      </c>
      <c r="D15" s="9" t="s">
        <v>46</v>
      </c>
      <c r="E15" s="9" t="s">
        <v>46</v>
      </c>
      <c r="F15" s="9">
        <v>2.0</v>
      </c>
      <c r="G15" s="9">
        <v>4.0</v>
      </c>
      <c r="H15" s="11" t="s">
        <v>16</v>
      </c>
      <c r="I15" s="9" t="s">
        <v>47</v>
      </c>
    </row>
    <row r="16">
      <c r="A16" s="9">
        <v>18.0</v>
      </c>
      <c r="B16" s="9" t="s">
        <v>41</v>
      </c>
      <c r="C16" s="10" t="s">
        <v>48</v>
      </c>
      <c r="D16" s="9" t="s">
        <v>49</v>
      </c>
      <c r="E16" s="9" t="s">
        <v>50</v>
      </c>
      <c r="F16" s="9">
        <v>4.0</v>
      </c>
      <c r="G16" s="9">
        <v>8.0</v>
      </c>
      <c r="H16" s="11" t="s">
        <v>16</v>
      </c>
      <c r="I16" s="9" t="s">
        <v>51</v>
      </c>
    </row>
    <row r="17">
      <c r="A17" s="9">
        <v>20.0</v>
      </c>
      <c r="B17" s="9" t="s">
        <v>52</v>
      </c>
      <c r="C17" s="10" t="s">
        <v>53</v>
      </c>
      <c r="D17" s="9" t="s">
        <v>54</v>
      </c>
      <c r="E17" s="9" t="s">
        <v>55</v>
      </c>
      <c r="F17" s="9">
        <v>6.0</v>
      </c>
      <c r="G17" s="9">
        <v>12.0</v>
      </c>
      <c r="H17" s="11" t="s">
        <v>16</v>
      </c>
      <c r="I17" s="9" t="s">
        <v>56</v>
      </c>
    </row>
    <row r="18">
      <c r="A18" s="9">
        <v>21.0</v>
      </c>
      <c r="B18" s="9" t="s">
        <v>52</v>
      </c>
      <c r="C18" s="10" t="s">
        <v>57</v>
      </c>
      <c r="D18" s="9" t="s">
        <v>54</v>
      </c>
      <c r="E18" s="9" t="s">
        <v>55</v>
      </c>
      <c r="F18" s="9">
        <v>4.0</v>
      </c>
      <c r="G18" s="9">
        <v>8.0</v>
      </c>
      <c r="H18" s="11" t="s">
        <v>16</v>
      </c>
      <c r="I18" s="9" t="s">
        <v>56</v>
      </c>
    </row>
    <row r="19">
      <c r="A19" s="9">
        <v>22.0</v>
      </c>
      <c r="B19" s="9" t="s">
        <v>52</v>
      </c>
      <c r="C19" s="10" t="s">
        <v>58</v>
      </c>
      <c r="D19" s="9" t="s">
        <v>54</v>
      </c>
      <c r="E19" s="9" t="s">
        <v>59</v>
      </c>
      <c r="F19" s="9">
        <v>2.0</v>
      </c>
      <c r="G19" s="9">
        <v>4.0</v>
      </c>
      <c r="H19" s="11" t="s">
        <v>16</v>
      </c>
      <c r="I19" s="9" t="s">
        <v>56</v>
      </c>
    </row>
    <row r="20">
      <c r="A20" s="9">
        <v>24.0</v>
      </c>
      <c r="B20" s="9" t="s">
        <v>60</v>
      </c>
      <c r="C20" s="10" t="s">
        <v>61</v>
      </c>
      <c r="D20" s="9" t="s">
        <v>62</v>
      </c>
      <c r="E20" s="9" t="s">
        <v>63</v>
      </c>
      <c r="F20" s="9">
        <v>3.0</v>
      </c>
      <c r="G20" s="9">
        <v>6.0</v>
      </c>
      <c r="H20" s="11" t="s">
        <v>16</v>
      </c>
      <c r="I20" s="9" t="s">
        <v>64</v>
      </c>
    </row>
    <row r="21" ht="15.75" customHeight="1">
      <c r="A21" s="9">
        <v>25.0</v>
      </c>
      <c r="B21" s="9" t="s">
        <v>60</v>
      </c>
      <c r="C21" s="10" t="s">
        <v>65</v>
      </c>
      <c r="D21" s="9" t="s">
        <v>66</v>
      </c>
      <c r="E21" s="9" t="s">
        <v>66</v>
      </c>
      <c r="F21" s="9">
        <v>2.0</v>
      </c>
      <c r="G21" s="9">
        <v>4.0</v>
      </c>
      <c r="H21" s="11" t="s">
        <v>16</v>
      </c>
      <c r="I21" s="9" t="s">
        <v>67</v>
      </c>
    </row>
    <row r="22" ht="15.75" customHeight="1">
      <c r="A22" s="9">
        <v>26.0</v>
      </c>
      <c r="B22" s="9" t="s">
        <v>60</v>
      </c>
      <c r="C22" s="10" t="s">
        <v>68</v>
      </c>
      <c r="D22" s="9" t="s">
        <v>55</v>
      </c>
      <c r="E22" s="9" t="s">
        <v>55</v>
      </c>
      <c r="F22" s="9">
        <v>1.0</v>
      </c>
      <c r="G22" s="9">
        <v>2.0</v>
      </c>
      <c r="H22" s="11" t="s">
        <v>21</v>
      </c>
      <c r="I22" s="9" t="s">
        <v>69</v>
      </c>
    </row>
    <row r="23" ht="15.75" customHeight="1">
      <c r="A23" s="6" t="s">
        <v>70</v>
      </c>
      <c r="B23" s="7"/>
      <c r="C23" s="7"/>
      <c r="D23" s="7"/>
      <c r="E23" s="7"/>
      <c r="F23" s="7"/>
      <c r="G23" s="7"/>
      <c r="H23" s="7"/>
      <c r="I23" s="8"/>
    </row>
    <row r="24" ht="15.75" customHeight="1">
      <c r="A24" s="9">
        <v>29.0</v>
      </c>
      <c r="B24" s="9" t="s">
        <v>71</v>
      </c>
      <c r="C24" s="10" t="s">
        <v>72</v>
      </c>
      <c r="D24" s="9" t="s">
        <v>54</v>
      </c>
      <c r="E24" s="9" t="s">
        <v>73</v>
      </c>
      <c r="F24" s="9">
        <v>6.0</v>
      </c>
      <c r="G24" s="9">
        <v>12.0</v>
      </c>
      <c r="H24" s="11" t="s">
        <v>74</v>
      </c>
      <c r="I24" s="9" t="s">
        <v>75</v>
      </c>
    </row>
    <row r="25" ht="15.75" customHeight="1">
      <c r="A25" s="9">
        <v>30.0</v>
      </c>
      <c r="B25" s="9" t="s">
        <v>71</v>
      </c>
      <c r="C25" s="10" t="s">
        <v>76</v>
      </c>
      <c r="D25" s="9" t="s">
        <v>77</v>
      </c>
      <c r="E25" s="9" t="s">
        <v>78</v>
      </c>
      <c r="F25" s="9">
        <v>3.0</v>
      </c>
      <c r="G25" s="9">
        <v>6.0</v>
      </c>
      <c r="H25" s="11" t="s">
        <v>35</v>
      </c>
      <c r="I25" s="9" t="s">
        <v>79</v>
      </c>
    </row>
    <row r="26" ht="15.75" customHeight="1">
      <c r="A26" s="9">
        <v>31.0</v>
      </c>
      <c r="B26" s="9" t="s">
        <v>71</v>
      </c>
      <c r="C26" s="10" t="s">
        <v>80</v>
      </c>
      <c r="D26" s="9" t="s">
        <v>81</v>
      </c>
      <c r="E26" s="9" t="s">
        <v>82</v>
      </c>
      <c r="F26" s="9">
        <v>3.0</v>
      </c>
      <c r="G26" s="9">
        <v>6.0</v>
      </c>
      <c r="H26" s="11" t="s">
        <v>74</v>
      </c>
      <c r="I26" s="9" t="s">
        <v>83</v>
      </c>
    </row>
    <row r="27" ht="15.75" customHeight="1">
      <c r="A27" s="9">
        <v>33.0</v>
      </c>
      <c r="B27" s="9" t="s">
        <v>84</v>
      </c>
      <c r="C27" s="10" t="s">
        <v>85</v>
      </c>
      <c r="D27" s="9" t="s">
        <v>86</v>
      </c>
      <c r="E27" s="9" t="s">
        <v>86</v>
      </c>
      <c r="F27" s="9">
        <v>1.0</v>
      </c>
      <c r="G27" s="9">
        <v>8.0</v>
      </c>
      <c r="H27" s="11" t="s">
        <v>87</v>
      </c>
      <c r="I27" s="9" t="s">
        <v>88</v>
      </c>
    </row>
    <row r="28" ht="15.75" customHeight="1">
      <c r="A28" s="9">
        <v>34.0</v>
      </c>
      <c r="B28" s="9" t="s">
        <v>84</v>
      </c>
      <c r="C28" s="10" t="s">
        <v>89</v>
      </c>
      <c r="D28" s="9" t="s">
        <v>90</v>
      </c>
      <c r="E28" s="9" t="s">
        <v>90</v>
      </c>
      <c r="F28" s="9">
        <v>1.0</v>
      </c>
      <c r="G28" s="9">
        <v>8.0</v>
      </c>
      <c r="H28" s="11" t="s">
        <v>87</v>
      </c>
      <c r="I28" s="9" t="s">
        <v>91</v>
      </c>
    </row>
    <row r="29" ht="15.75" customHeight="1">
      <c r="A29" s="9">
        <v>35.0</v>
      </c>
      <c r="B29" s="9" t="s">
        <v>84</v>
      </c>
      <c r="C29" s="10" t="s">
        <v>92</v>
      </c>
      <c r="D29" s="9" t="s">
        <v>93</v>
      </c>
      <c r="E29" s="9" t="s">
        <v>93</v>
      </c>
      <c r="F29" s="9">
        <v>1.0</v>
      </c>
      <c r="G29" s="9">
        <v>8.0</v>
      </c>
      <c r="H29" s="11" t="s">
        <v>94</v>
      </c>
      <c r="I29" s="9" t="s">
        <v>95</v>
      </c>
    </row>
    <row r="30" ht="15.75" customHeight="1">
      <c r="A30" s="12">
        <v>27.0</v>
      </c>
      <c r="B30" s="13" t="s">
        <v>84</v>
      </c>
      <c r="C30" s="14" t="s">
        <v>96</v>
      </c>
      <c r="D30" s="13" t="s">
        <v>97</v>
      </c>
      <c r="E30" s="13" t="s">
        <v>97</v>
      </c>
      <c r="F30" s="13" t="s">
        <v>98</v>
      </c>
      <c r="G30" s="13" t="s">
        <v>99</v>
      </c>
      <c r="H30" s="15" t="s">
        <v>26</v>
      </c>
      <c r="I30" s="13" t="s">
        <v>100</v>
      </c>
    </row>
    <row r="31" ht="15.75" customHeight="1">
      <c r="A31" s="12">
        <v>28.0</v>
      </c>
      <c r="B31" s="13" t="s">
        <v>84</v>
      </c>
      <c r="C31" s="14" t="s">
        <v>101</v>
      </c>
      <c r="D31" s="13" t="s">
        <v>102</v>
      </c>
      <c r="E31" s="13" t="s">
        <v>102</v>
      </c>
      <c r="F31" s="13" t="s">
        <v>98</v>
      </c>
      <c r="G31" s="13" t="s">
        <v>99</v>
      </c>
      <c r="H31" s="15" t="s">
        <v>103</v>
      </c>
      <c r="I31" s="13" t="s">
        <v>104</v>
      </c>
    </row>
    <row r="32" ht="15.75" customHeight="1">
      <c r="A32" s="12">
        <v>32.0</v>
      </c>
      <c r="B32" s="13" t="s">
        <v>84</v>
      </c>
      <c r="C32" s="14" t="s">
        <v>105</v>
      </c>
      <c r="D32" s="13" t="s">
        <v>106</v>
      </c>
      <c r="E32" s="13" t="s">
        <v>106</v>
      </c>
      <c r="F32" s="13" t="s">
        <v>98</v>
      </c>
      <c r="G32" s="13" t="s">
        <v>107</v>
      </c>
      <c r="H32" s="15" t="s">
        <v>16</v>
      </c>
      <c r="I32" s="13" t="s">
        <v>108</v>
      </c>
    </row>
    <row r="33" ht="15.75" customHeight="1">
      <c r="A33" s="12">
        <v>36.0</v>
      </c>
      <c r="B33" s="13" t="s">
        <v>84</v>
      </c>
      <c r="C33" s="14" t="s">
        <v>109</v>
      </c>
      <c r="D33" s="13" t="s">
        <v>106</v>
      </c>
      <c r="E33" s="13" t="s">
        <v>110</v>
      </c>
      <c r="F33" s="13" t="s">
        <v>107</v>
      </c>
      <c r="G33" s="13" t="s">
        <v>111</v>
      </c>
      <c r="H33" s="15" t="s">
        <v>103</v>
      </c>
      <c r="I33" s="13" t="s">
        <v>112</v>
      </c>
    </row>
    <row r="34" ht="15.75" customHeight="1">
      <c r="A34" s="12">
        <v>40.0</v>
      </c>
      <c r="B34" s="13" t="s">
        <v>84</v>
      </c>
      <c r="C34" s="14" t="s">
        <v>113</v>
      </c>
      <c r="D34" s="13" t="s">
        <v>110</v>
      </c>
      <c r="E34" s="13" t="s">
        <v>114</v>
      </c>
      <c r="F34" s="13" t="s">
        <v>107</v>
      </c>
      <c r="G34" s="13" t="s">
        <v>99</v>
      </c>
      <c r="H34" s="15" t="s">
        <v>115</v>
      </c>
      <c r="I34" s="13" t="s">
        <v>112</v>
      </c>
    </row>
    <row r="35" ht="15.75" customHeight="1">
      <c r="A35" s="12">
        <v>44.0</v>
      </c>
      <c r="B35" s="13" t="s">
        <v>84</v>
      </c>
      <c r="C35" s="14" t="s">
        <v>116</v>
      </c>
      <c r="D35" s="13" t="s">
        <v>114</v>
      </c>
      <c r="E35" s="13" t="s">
        <v>114</v>
      </c>
      <c r="F35" s="13" t="s">
        <v>98</v>
      </c>
      <c r="G35" s="13" t="s">
        <v>99</v>
      </c>
      <c r="H35" s="15" t="s">
        <v>103</v>
      </c>
      <c r="I35" s="13" t="s">
        <v>117</v>
      </c>
    </row>
    <row r="36" ht="15.75" customHeight="1">
      <c r="A36" s="9">
        <v>37.0</v>
      </c>
      <c r="B36" s="9" t="s">
        <v>118</v>
      </c>
      <c r="C36" s="10" t="s">
        <v>119</v>
      </c>
      <c r="D36" s="9" t="s">
        <v>97</v>
      </c>
      <c r="E36" s="9" t="s">
        <v>97</v>
      </c>
      <c r="F36" s="9">
        <v>2.0</v>
      </c>
      <c r="G36" s="9">
        <v>12.0</v>
      </c>
      <c r="H36" s="11" t="s">
        <v>103</v>
      </c>
      <c r="I36" s="9" t="s">
        <v>100</v>
      </c>
    </row>
    <row r="37" ht="15.75" customHeight="1">
      <c r="A37" s="9">
        <v>38.0</v>
      </c>
      <c r="B37" s="9" t="s">
        <v>118</v>
      </c>
      <c r="C37" s="10" t="s">
        <v>120</v>
      </c>
      <c r="D37" s="9" t="s">
        <v>102</v>
      </c>
      <c r="E37" s="9" t="s">
        <v>102</v>
      </c>
      <c r="F37" s="9">
        <v>1.0</v>
      </c>
      <c r="G37" s="9">
        <v>8.0</v>
      </c>
      <c r="H37" s="11" t="s">
        <v>103</v>
      </c>
      <c r="I37" s="9" t="s">
        <v>121</v>
      </c>
    </row>
    <row r="38" ht="15.75" customHeight="1">
      <c r="A38" s="9">
        <v>39.0</v>
      </c>
      <c r="B38" s="9" t="s">
        <v>118</v>
      </c>
      <c r="C38" s="10" t="s">
        <v>122</v>
      </c>
      <c r="D38" s="9" t="s">
        <v>97</v>
      </c>
      <c r="E38" s="9" t="s">
        <v>97</v>
      </c>
      <c r="F38" s="9">
        <v>1.0</v>
      </c>
      <c r="G38" s="9">
        <v>8.0</v>
      </c>
      <c r="H38" s="11" t="s">
        <v>115</v>
      </c>
      <c r="I38" s="9" t="s">
        <v>100</v>
      </c>
    </row>
    <row r="39" ht="15.75" customHeight="1">
      <c r="A39" s="9">
        <v>41.0</v>
      </c>
      <c r="B39" s="9" t="s">
        <v>123</v>
      </c>
      <c r="C39" s="10" t="s">
        <v>124</v>
      </c>
      <c r="D39" s="9" t="s">
        <v>106</v>
      </c>
      <c r="E39" s="9" t="s">
        <v>106</v>
      </c>
      <c r="F39" s="9">
        <v>1.0</v>
      </c>
      <c r="G39" s="9">
        <v>8.0</v>
      </c>
      <c r="H39" s="11" t="s">
        <v>87</v>
      </c>
      <c r="I39" s="9" t="s">
        <v>100</v>
      </c>
    </row>
    <row r="40" ht="15.75" customHeight="1">
      <c r="A40" s="9">
        <v>42.0</v>
      </c>
      <c r="B40" s="9" t="s">
        <v>123</v>
      </c>
      <c r="C40" s="10" t="s">
        <v>125</v>
      </c>
      <c r="D40" s="9" t="s">
        <v>110</v>
      </c>
      <c r="E40" s="9" t="s">
        <v>110</v>
      </c>
      <c r="F40" s="9">
        <v>1.0</v>
      </c>
      <c r="G40" s="9">
        <v>4.0</v>
      </c>
      <c r="H40" s="11" t="s">
        <v>103</v>
      </c>
      <c r="I40" s="9" t="s">
        <v>126</v>
      </c>
    </row>
    <row r="41" ht="15.75" customHeight="1">
      <c r="A41" s="9">
        <v>43.0</v>
      </c>
      <c r="B41" s="9" t="s">
        <v>123</v>
      </c>
      <c r="C41" s="10" t="s">
        <v>127</v>
      </c>
      <c r="D41" s="9" t="s">
        <v>110</v>
      </c>
      <c r="E41" s="9" t="s">
        <v>110</v>
      </c>
      <c r="F41" s="9">
        <v>1.0</v>
      </c>
      <c r="G41" s="9">
        <v>4.0</v>
      </c>
      <c r="H41" s="11" t="s">
        <v>128</v>
      </c>
      <c r="I41" s="9" t="s">
        <v>126</v>
      </c>
    </row>
    <row r="42" ht="15.75" customHeight="1">
      <c r="A42" s="9">
        <v>45.0</v>
      </c>
      <c r="B42" s="9" t="s">
        <v>129</v>
      </c>
      <c r="C42" s="10" t="s">
        <v>130</v>
      </c>
      <c r="D42" s="9" t="s">
        <v>114</v>
      </c>
      <c r="E42" s="9" t="s">
        <v>114</v>
      </c>
      <c r="F42" s="9">
        <v>1.0</v>
      </c>
      <c r="G42" s="9">
        <v>2.0</v>
      </c>
      <c r="H42" s="11" t="s">
        <v>26</v>
      </c>
      <c r="I42" s="9" t="s">
        <v>131</v>
      </c>
    </row>
    <row r="43" ht="15.75" customHeight="1">
      <c r="A43" s="9">
        <v>46.0</v>
      </c>
      <c r="B43" s="9" t="s">
        <v>129</v>
      </c>
      <c r="C43" s="10" t="s">
        <v>132</v>
      </c>
      <c r="D43" s="9" t="s">
        <v>133</v>
      </c>
      <c r="E43" s="9" t="s">
        <v>133</v>
      </c>
      <c r="F43" s="9">
        <v>1.0</v>
      </c>
      <c r="G43" s="9">
        <v>2.0</v>
      </c>
      <c r="H43" s="11" t="s">
        <v>16</v>
      </c>
      <c r="I43" s="9" t="s">
        <v>134</v>
      </c>
    </row>
    <row r="44" ht="15.75" customHeight="1">
      <c r="A44" s="6" t="s">
        <v>135</v>
      </c>
      <c r="B44" s="7"/>
      <c r="C44" s="7"/>
      <c r="D44" s="7"/>
      <c r="E44" s="7"/>
      <c r="F44" s="7"/>
      <c r="G44" s="7"/>
      <c r="H44" s="7"/>
      <c r="I44" s="8"/>
    </row>
    <row r="45" ht="15.75" customHeight="1">
      <c r="A45" s="9">
        <v>49.0</v>
      </c>
      <c r="B45" s="9" t="s">
        <v>136</v>
      </c>
      <c r="C45" s="10" t="s">
        <v>137</v>
      </c>
      <c r="D45" s="9" t="s">
        <v>138</v>
      </c>
      <c r="E45" s="9" t="s">
        <v>139</v>
      </c>
      <c r="F45" s="9">
        <v>3.0</v>
      </c>
      <c r="G45" s="9">
        <v>24.0</v>
      </c>
      <c r="H45" s="11" t="s">
        <v>103</v>
      </c>
      <c r="I45" s="9" t="s">
        <v>140</v>
      </c>
    </row>
    <row r="46" ht="15.75" customHeight="1">
      <c r="A46" s="9">
        <v>50.0</v>
      </c>
      <c r="B46" s="9" t="s">
        <v>136</v>
      </c>
      <c r="C46" s="10" t="s">
        <v>141</v>
      </c>
      <c r="D46" s="9" t="s">
        <v>142</v>
      </c>
      <c r="E46" s="9" t="s">
        <v>142</v>
      </c>
      <c r="F46" s="9">
        <v>2.0</v>
      </c>
      <c r="G46" s="9">
        <v>20.0</v>
      </c>
      <c r="H46" s="11" t="s">
        <v>103</v>
      </c>
      <c r="I46" s="9" t="s">
        <v>143</v>
      </c>
    </row>
    <row r="47" ht="15.75" customHeight="1">
      <c r="A47" s="9">
        <v>51.0</v>
      </c>
      <c r="B47" s="9" t="s">
        <v>136</v>
      </c>
      <c r="C47" s="10" t="s">
        <v>144</v>
      </c>
      <c r="D47" s="9" t="s">
        <v>145</v>
      </c>
      <c r="E47" s="9" t="s">
        <v>145</v>
      </c>
      <c r="F47" s="9">
        <v>2.0</v>
      </c>
      <c r="G47" s="9">
        <v>16.0</v>
      </c>
      <c r="H47" s="11" t="s">
        <v>103</v>
      </c>
      <c r="I47" s="9" t="s">
        <v>146</v>
      </c>
    </row>
    <row r="48" ht="15.75" customHeight="1">
      <c r="A48" s="9">
        <v>53.0</v>
      </c>
      <c r="B48" s="9" t="s">
        <v>147</v>
      </c>
      <c r="C48" s="10" t="s">
        <v>148</v>
      </c>
      <c r="D48" s="9" t="s">
        <v>149</v>
      </c>
      <c r="E48" s="9" t="s">
        <v>150</v>
      </c>
      <c r="F48" s="9">
        <v>4.0</v>
      </c>
      <c r="G48" s="9">
        <v>32.0</v>
      </c>
      <c r="H48" s="11" t="s">
        <v>103</v>
      </c>
      <c r="I48" s="9" t="s">
        <v>151</v>
      </c>
    </row>
    <row r="49" ht="15.75" customHeight="1">
      <c r="A49" s="9">
        <v>54.0</v>
      </c>
      <c r="B49" s="9" t="s">
        <v>147</v>
      </c>
      <c r="C49" s="10" t="s">
        <v>152</v>
      </c>
      <c r="D49" s="9" t="s">
        <v>153</v>
      </c>
      <c r="E49" s="9" t="s">
        <v>153</v>
      </c>
      <c r="F49" s="9">
        <v>2.0</v>
      </c>
      <c r="G49" s="9">
        <v>16.0</v>
      </c>
      <c r="H49" s="11" t="s">
        <v>103</v>
      </c>
      <c r="I49" s="9" t="s">
        <v>154</v>
      </c>
    </row>
    <row r="50" ht="15.75" customHeight="1">
      <c r="A50" s="9">
        <v>55.0</v>
      </c>
      <c r="B50" s="9" t="s">
        <v>147</v>
      </c>
      <c r="C50" s="10" t="s">
        <v>155</v>
      </c>
      <c r="D50" s="9" t="s">
        <v>153</v>
      </c>
      <c r="E50" s="9" t="s">
        <v>153</v>
      </c>
      <c r="F50" s="9">
        <v>2.0</v>
      </c>
      <c r="G50" s="9">
        <v>16.0</v>
      </c>
      <c r="H50" s="11" t="s">
        <v>115</v>
      </c>
      <c r="I50" s="9" t="s">
        <v>156</v>
      </c>
    </row>
    <row r="51" ht="15.75" customHeight="1">
      <c r="A51" s="9">
        <v>56.0</v>
      </c>
      <c r="B51" s="9" t="s">
        <v>147</v>
      </c>
      <c r="C51" s="10" t="s">
        <v>157</v>
      </c>
      <c r="D51" s="9" t="s">
        <v>158</v>
      </c>
      <c r="E51" s="9" t="s">
        <v>158</v>
      </c>
      <c r="F51" s="9">
        <v>2.0</v>
      </c>
      <c r="G51" s="9">
        <v>20.0</v>
      </c>
      <c r="H51" s="11" t="s">
        <v>115</v>
      </c>
      <c r="I51" s="9" t="s">
        <v>159</v>
      </c>
    </row>
    <row r="52" ht="15.75" customHeight="1">
      <c r="A52" s="9">
        <v>57.0</v>
      </c>
      <c r="B52" s="9" t="s">
        <v>147</v>
      </c>
      <c r="C52" s="10" t="s">
        <v>160</v>
      </c>
      <c r="D52" s="9" t="s">
        <v>158</v>
      </c>
      <c r="E52" s="9" t="s">
        <v>158</v>
      </c>
      <c r="F52" s="9">
        <v>2.0</v>
      </c>
      <c r="G52" s="9">
        <v>16.0</v>
      </c>
      <c r="H52" s="11" t="s">
        <v>103</v>
      </c>
      <c r="I52" s="9" t="s">
        <v>161</v>
      </c>
    </row>
    <row r="53" ht="15.75" customHeight="1">
      <c r="A53" s="9">
        <v>59.0</v>
      </c>
      <c r="B53" s="9" t="s">
        <v>162</v>
      </c>
      <c r="C53" s="10" t="s">
        <v>163</v>
      </c>
      <c r="D53" s="9" t="s">
        <v>164</v>
      </c>
      <c r="E53" s="9" t="s">
        <v>165</v>
      </c>
      <c r="F53" s="9">
        <v>3.0</v>
      </c>
      <c r="G53" s="9">
        <v>24.0</v>
      </c>
      <c r="H53" s="11" t="s">
        <v>115</v>
      </c>
      <c r="I53" s="9" t="s">
        <v>166</v>
      </c>
    </row>
    <row r="54" ht="15.75" customHeight="1">
      <c r="A54" s="9">
        <v>60.0</v>
      </c>
      <c r="B54" s="9" t="s">
        <v>162</v>
      </c>
      <c r="C54" s="10" t="s">
        <v>167</v>
      </c>
      <c r="D54" s="9" t="s">
        <v>168</v>
      </c>
      <c r="E54" s="9" t="s">
        <v>168</v>
      </c>
      <c r="F54" s="9">
        <v>2.0</v>
      </c>
      <c r="G54" s="9">
        <v>20.0</v>
      </c>
      <c r="H54" s="11" t="s">
        <v>115</v>
      </c>
      <c r="I54" s="9" t="s">
        <v>169</v>
      </c>
    </row>
    <row r="55" ht="15.75" customHeight="1">
      <c r="A55" s="9">
        <v>61.0</v>
      </c>
      <c r="B55" s="9" t="s">
        <v>162</v>
      </c>
      <c r="C55" s="10" t="s">
        <v>170</v>
      </c>
      <c r="D55" s="9" t="s">
        <v>171</v>
      </c>
      <c r="E55" s="9" t="s">
        <v>171</v>
      </c>
      <c r="F55" s="9">
        <v>2.0</v>
      </c>
      <c r="G55" s="9">
        <v>16.0</v>
      </c>
      <c r="H55" s="11" t="s">
        <v>115</v>
      </c>
      <c r="I55" s="9" t="s">
        <v>172</v>
      </c>
    </row>
    <row r="56" ht="15.75" customHeight="1">
      <c r="A56" s="9">
        <v>63.0</v>
      </c>
      <c r="B56" s="9" t="s">
        <v>173</v>
      </c>
      <c r="C56" s="10" t="s">
        <v>174</v>
      </c>
      <c r="D56" s="9" t="s">
        <v>175</v>
      </c>
      <c r="E56" s="9" t="s">
        <v>176</v>
      </c>
      <c r="F56" s="9">
        <v>3.0</v>
      </c>
      <c r="G56" s="9">
        <v>24.0</v>
      </c>
      <c r="H56" s="11" t="s">
        <v>115</v>
      </c>
      <c r="I56" s="9" t="s">
        <v>177</v>
      </c>
    </row>
    <row r="57" ht="15.75" customHeight="1">
      <c r="A57" s="9">
        <v>64.0</v>
      </c>
      <c r="B57" s="9" t="s">
        <v>173</v>
      </c>
      <c r="C57" s="10" t="s">
        <v>178</v>
      </c>
      <c r="D57" s="9" t="s">
        <v>179</v>
      </c>
      <c r="E57" s="9" t="s">
        <v>179</v>
      </c>
      <c r="F57" s="9">
        <v>2.0</v>
      </c>
      <c r="G57" s="9">
        <v>20.0</v>
      </c>
      <c r="H57" s="11" t="s">
        <v>115</v>
      </c>
      <c r="I57" s="9" t="s">
        <v>180</v>
      </c>
    </row>
    <row r="58" ht="15.75" customHeight="1">
      <c r="A58" s="9">
        <v>65.0</v>
      </c>
      <c r="B58" s="9" t="s">
        <v>173</v>
      </c>
      <c r="C58" s="10" t="s">
        <v>181</v>
      </c>
      <c r="D58" s="9" t="s">
        <v>182</v>
      </c>
      <c r="E58" s="9" t="s">
        <v>182</v>
      </c>
      <c r="F58" s="9">
        <v>2.0</v>
      </c>
      <c r="G58" s="9">
        <v>16.0</v>
      </c>
      <c r="H58" s="11" t="s">
        <v>115</v>
      </c>
      <c r="I58" s="9" t="s">
        <v>183</v>
      </c>
    </row>
    <row r="59" ht="15.75" customHeight="1">
      <c r="A59" s="9">
        <v>66.0</v>
      </c>
      <c r="B59" s="9" t="s">
        <v>173</v>
      </c>
      <c r="C59" s="10" t="s">
        <v>184</v>
      </c>
      <c r="D59" s="9" t="s">
        <v>185</v>
      </c>
      <c r="E59" s="9" t="s">
        <v>185</v>
      </c>
      <c r="F59" s="9">
        <v>2.0</v>
      </c>
      <c r="G59" s="9">
        <v>16.0</v>
      </c>
      <c r="H59" s="11" t="s">
        <v>115</v>
      </c>
      <c r="I59" s="9" t="s">
        <v>186</v>
      </c>
    </row>
    <row r="60" ht="15.75" customHeight="1">
      <c r="A60" s="9">
        <v>68.0</v>
      </c>
      <c r="B60" s="9" t="s">
        <v>187</v>
      </c>
      <c r="C60" s="10" t="s">
        <v>188</v>
      </c>
      <c r="D60" s="9" t="s">
        <v>164</v>
      </c>
      <c r="E60" s="9" t="s">
        <v>168</v>
      </c>
      <c r="F60" s="9">
        <v>4.0</v>
      </c>
      <c r="G60" s="9">
        <v>28.0</v>
      </c>
      <c r="H60" s="11" t="s">
        <v>189</v>
      </c>
      <c r="I60" s="9" t="s">
        <v>190</v>
      </c>
    </row>
    <row r="61" ht="15.75" customHeight="1">
      <c r="A61" s="9">
        <v>69.0</v>
      </c>
      <c r="B61" s="9" t="s">
        <v>187</v>
      </c>
      <c r="C61" s="10" t="s">
        <v>191</v>
      </c>
      <c r="D61" s="9" t="s">
        <v>171</v>
      </c>
      <c r="E61" s="9" t="s">
        <v>176</v>
      </c>
      <c r="F61" s="9">
        <v>4.0</v>
      </c>
      <c r="G61" s="9">
        <v>28.0</v>
      </c>
      <c r="H61" s="11" t="s">
        <v>189</v>
      </c>
      <c r="I61" s="9" t="s">
        <v>192</v>
      </c>
    </row>
    <row r="62" ht="15.75" customHeight="1">
      <c r="A62" s="9">
        <v>70.0</v>
      </c>
      <c r="B62" s="9" t="s">
        <v>187</v>
      </c>
      <c r="C62" s="10" t="s">
        <v>193</v>
      </c>
      <c r="D62" s="9" t="s">
        <v>179</v>
      </c>
      <c r="E62" s="9" t="s">
        <v>179</v>
      </c>
      <c r="F62" s="9">
        <v>2.0</v>
      </c>
      <c r="G62" s="9">
        <v>14.0</v>
      </c>
      <c r="H62" s="11" t="s">
        <v>189</v>
      </c>
      <c r="I62" s="9" t="s">
        <v>194</v>
      </c>
    </row>
    <row r="63" ht="15.75" customHeight="1">
      <c r="A63" s="9">
        <v>72.0</v>
      </c>
      <c r="B63" s="9" t="s">
        <v>195</v>
      </c>
      <c r="C63" s="10" t="s">
        <v>196</v>
      </c>
      <c r="D63" s="9" t="s">
        <v>182</v>
      </c>
      <c r="E63" s="9" t="s">
        <v>182</v>
      </c>
      <c r="F63" s="9">
        <v>2.0</v>
      </c>
      <c r="G63" s="9">
        <v>20.0</v>
      </c>
      <c r="H63" s="11" t="s">
        <v>189</v>
      </c>
      <c r="I63" s="9" t="s">
        <v>197</v>
      </c>
    </row>
    <row r="64" ht="15.75" customHeight="1">
      <c r="A64" s="9">
        <v>73.0</v>
      </c>
      <c r="B64" s="9" t="s">
        <v>195</v>
      </c>
      <c r="C64" s="10" t="s">
        <v>198</v>
      </c>
      <c r="D64" s="9" t="s">
        <v>185</v>
      </c>
      <c r="E64" s="9" t="s">
        <v>185</v>
      </c>
      <c r="F64" s="9">
        <v>2.0</v>
      </c>
      <c r="G64" s="9">
        <v>20.0</v>
      </c>
      <c r="H64" s="11" t="s">
        <v>189</v>
      </c>
      <c r="I64" s="9" t="s">
        <v>199</v>
      </c>
    </row>
    <row r="65" ht="15.75" customHeight="1">
      <c r="A65" s="9">
        <v>74.0</v>
      </c>
      <c r="B65" s="9" t="s">
        <v>195</v>
      </c>
      <c r="C65" s="10" t="s">
        <v>200</v>
      </c>
      <c r="D65" s="9" t="s">
        <v>201</v>
      </c>
      <c r="E65" s="9" t="s">
        <v>202</v>
      </c>
      <c r="F65" s="9">
        <v>4.0</v>
      </c>
      <c r="G65" s="9">
        <v>28.0</v>
      </c>
      <c r="H65" s="11" t="s">
        <v>203</v>
      </c>
      <c r="I65" s="9" t="s">
        <v>204</v>
      </c>
    </row>
    <row r="66" ht="15.75" customHeight="1">
      <c r="A66" s="13" t="s">
        <v>205</v>
      </c>
      <c r="B66" s="13" t="s">
        <v>206</v>
      </c>
      <c r="C66" s="14" t="s">
        <v>207</v>
      </c>
      <c r="D66" s="13" t="s">
        <v>208</v>
      </c>
      <c r="E66" s="13" t="s">
        <v>209</v>
      </c>
      <c r="F66" s="13" t="s">
        <v>210</v>
      </c>
      <c r="G66" s="13" t="s">
        <v>99</v>
      </c>
      <c r="H66" s="15" t="s">
        <v>115</v>
      </c>
      <c r="I66" s="13" t="s">
        <v>211</v>
      </c>
    </row>
    <row r="67" ht="15.75" customHeight="1">
      <c r="A67" s="13" t="s">
        <v>212</v>
      </c>
      <c r="B67" s="13" t="s">
        <v>206</v>
      </c>
      <c r="C67" s="14" t="s">
        <v>213</v>
      </c>
      <c r="D67" s="13" t="s">
        <v>209</v>
      </c>
      <c r="E67" s="13" t="s">
        <v>214</v>
      </c>
      <c r="F67" s="13" t="s">
        <v>210</v>
      </c>
      <c r="G67" s="13" t="s">
        <v>215</v>
      </c>
      <c r="H67" s="15" t="s">
        <v>115</v>
      </c>
      <c r="I67" s="13" t="s">
        <v>216</v>
      </c>
    </row>
    <row r="68" ht="15.75" customHeight="1">
      <c r="A68" s="13" t="s">
        <v>217</v>
      </c>
      <c r="B68" s="13" t="s">
        <v>206</v>
      </c>
      <c r="C68" s="14" t="s">
        <v>218</v>
      </c>
      <c r="D68" s="13" t="s">
        <v>214</v>
      </c>
      <c r="E68" s="13" t="s">
        <v>219</v>
      </c>
      <c r="F68" s="13" t="s">
        <v>107</v>
      </c>
      <c r="G68" s="13" t="s">
        <v>220</v>
      </c>
      <c r="H68" s="15" t="s">
        <v>115</v>
      </c>
      <c r="I68" s="13" t="s">
        <v>221</v>
      </c>
    </row>
    <row r="69" ht="15.75" customHeight="1">
      <c r="A69" s="13" t="s">
        <v>222</v>
      </c>
      <c r="B69" s="13" t="s">
        <v>206</v>
      </c>
      <c r="C69" s="14" t="s">
        <v>223</v>
      </c>
      <c r="D69" s="13" t="s">
        <v>224</v>
      </c>
      <c r="E69" s="13" t="s">
        <v>224</v>
      </c>
      <c r="F69" s="13" t="s">
        <v>98</v>
      </c>
      <c r="G69" s="13" t="s">
        <v>220</v>
      </c>
      <c r="H69" s="15" t="s">
        <v>115</v>
      </c>
      <c r="I69" s="13" t="s">
        <v>225</v>
      </c>
    </row>
    <row r="70" ht="15.75" customHeight="1">
      <c r="A70" s="9">
        <v>76.0</v>
      </c>
      <c r="B70" s="9" t="s">
        <v>226</v>
      </c>
      <c r="C70" s="10" t="s">
        <v>227</v>
      </c>
      <c r="D70" s="9" t="s">
        <v>228</v>
      </c>
      <c r="E70" s="9" t="s">
        <v>229</v>
      </c>
      <c r="F70" s="9">
        <v>4.0</v>
      </c>
      <c r="G70" s="9">
        <v>28.0</v>
      </c>
      <c r="H70" s="11" t="s">
        <v>103</v>
      </c>
      <c r="I70" s="9" t="s">
        <v>230</v>
      </c>
    </row>
    <row r="71" ht="15.75" customHeight="1">
      <c r="A71" s="9">
        <v>77.0</v>
      </c>
      <c r="B71" s="9" t="s">
        <v>226</v>
      </c>
      <c r="C71" s="10" t="s">
        <v>231</v>
      </c>
      <c r="D71" s="9" t="s">
        <v>208</v>
      </c>
      <c r="E71" s="9" t="s">
        <v>219</v>
      </c>
      <c r="F71" s="9">
        <v>4.0</v>
      </c>
      <c r="G71" s="9">
        <v>28.0</v>
      </c>
      <c r="H71" s="11" t="s">
        <v>103</v>
      </c>
      <c r="I71" s="9" t="s">
        <v>232</v>
      </c>
    </row>
    <row r="72" ht="15.75" customHeight="1">
      <c r="A72" s="9">
        <v>78.0</v>
      </c>
      <c r="B72" s="9" t="s">
        <v>226</v>
      </c>
      <c r="C72" s="10" t="s">
        <v>233</v>
      </c>
      <c r="D72" s="9" t="s">
        <v>208</v>
      </c>
      <c r="E72" s="9" t="s">
        <v>219</v>
      </c>
      <c r="F72" s="9">
        <v>4.0</v>
      </c>
      <c r="G72" s="9">
        <v>28.0</v>
      </c>
      <c r="H72" s="11" t="s">
        <v>115</v>
      </c>
      <c r="I72" s="9" t="s">
        <v>234</v>
      </c>
    </row>
    <row r="73" ht="15.75" customHeight="1">
      <c r="A73" s="6" t="s">
        <v>235</v>
      </c>
      <c r="B73" s="7"/>
      <c r="C73" s="7"/>
      <c r="D73" s="7"/>
      <c r="E73" s="7"/>
      <c r="F73" s="7"/>
      <c r="G73" s="7"/>
      <c r="H73" s="7"/>
      <c r="I73" s="8"/>
    </row>
    <row r="74" ht="15.75" customHeight="1">
      <c r="A74" s="13">
        <v>81.0</v>
      </c>
      <c r="B74" s="13" t="s">
        <v>236</v>
      </c>
      <c r="C74" s="14" t="s">
        <v>237</v>
      </c>
      <c r="D74" s="13" t="s">
        <v>224</v>
      </c>
      <c r="E74" s="13" t="s">
        <v>224</v>
      </c>
      <c r="F74" s="13">
        <v>2.0</v>
      </c>
      <c r="G74" s="13">
        <v>40.0</v>
      </c>
      <c r="H74" s="15" t="s">
        <v>238</v>
      </c>
      <c r="I74" s="13" t="s">
        <v>239</v>
      </c>
    </row>
    <row r="75" ht="15.75" customHeight="1">
      <c r="A75" s="9">
        <v>82.0</v>
      </c>
      <c r="B75" s="9" t="s">
        <v>236</v>
      </c>
      <c r="C75" s="10" t="s">
        <v>240</v>
      </c>
      <c r="D75" s="9" t="s">
        <v>241</v>
      </c>
      <c r="E75" s="9" t="s">
        <v>241</v>
      </c>
      <c r="F75" s="9">
        <v>2.0</v>
      </c>
      <c r="G75" s="9">
        <v>16.0</v>
      </c>
      <c r="H75" s="11" t="s">
        <v>115</v>
      </c>
      <c r="I75" s="9" t="s">
        <v>242</v>
      </c>
    </row>
    <row r="76" ht="15.75" customHeight="1">
      <c r="A76" s="9">
        <v>83.0</v>
      </c>
      <c r="B76" s="9" t="s">
        <v>236</v>
      </c>
      <c r="C76" s="10" t="s">
        <v>243</v>
      </c>
      <c r="D76" s="9" t="s">
        <v>241</v>
      </c>
      <c r="E76" s="9" t="s">
        <v>241</v>
      </c>
      <c r="F76" s="9">
        <v>2.0</v>
      </c>
      <c r="G76" s="9">
        <v>16.0</v>
      </c>
      <c r="H76" s="11" t="s">
        <v>103</v>
      </c>
      <c r="I76" s="9" t="s">
        <v>242</v>
      </c>
    </row>
    <row r="77" ht="15.75" customHeight="1">
      <c r="A77" s="9">
        <v>85.0</v>
      </c>
      <c r="B77" s="9" t="s">
        <v>244</v>
      </c>
      <c r="C77" s="10" t="s">
        <v>245</v>
      </c>
      <c r="D77" s="9" t="s">
        <v>246</v>
      </c>
      <c r="E77" s="9" t="s">
        <v>246</v>
      </c>
      <c r="F77" s="9">
        <v>2.0</v>
      </c>
      <c r="G77" s="9">
        <v>4.0</v>
      </c>
      <c r="H77" s="11" t="s">
        <v>16</v>
      </c>
      <c r="I77" s="9" t="s">
        <v>247</v>
      </c>
    </row>
    <row r="78" ht="15.75" customHeight="1">
      <c r="A78" s="13">
        <v>86.0</v>
      </c>
      <c r="B78" s="13" t="s">
        <v>244</v>
      </c>
      <c r="C78" s="14" t="s">
        <v>248</v>
      </c>
      <c r="D78" s="13" t="s">
        <v>249</v>
      </c>
      <c r="E78" s="13" t="s">
        <v>249</v>
      </c>
      <c r="F78" s="13">
        <v>1.0</v>
      </c>
      <c r="G78" s="13">
        <v>28.0</v>
      </c>
      <c r="H78" s="15" t="s">
        <v>250</v>
      </c>
      <c r="I78" s="13" t="s">
        <v>251</v>
      </c>
    </row>
    <row r="79" ht="15.75" customHeight="1">
      <c r="A79" s="9">
        <v>87.0</v>
      </c>
      <c r="B79" s="9" t="s">
        <v>244</v>
      </c>
      <c r="C79" s="10" t="s">
        <v>252</v>
      </c>
      <c r="D79" s="9" t="s">
        <v>253</v>
      </c>
      <c r="E79" s="9" t="s">
        <v>253</v>
      </c>
      <c r="F79" s="9">
        <v>2.0</v>
      </c>
      <c r="G79" s="9">
        <v>4.0</v>
      </c>
      <c r="H79" s="11" t="s">
        <v>16</v>
      </c>
      <c r="I79" s="9" t="s">
        <v>254</v>
      </c>
    </row>
    <row r="80" ht="15.75" customHeight="1">
      <c r="A80" s="9">
        <v>89.0</v>
      </c>
      <c r="B80" s="9" t="s">
        <v>255</v>
      </c>
      <c r="C80" s="10" t="s">
        <v>256</v>
      </c>
      <c r="D80" s="9" t="s">
        <v>257</v>
      </c>
      <c r="E80" s="9" t="s">
        <v>258</v>
      </c>
      <c r="F80" s="9">
        <v>4.0</v>
      </c>
      <c r="G80" s="9">
        <v>8.0</v>
      </c>
      <c r="H80" s="11" t="s">
        <v>16</v>
      </c>
      <c r="I80" s="9" t="s">
        <v>259</v>
      </c>
    </row>
    <row r="81" ht="15.75" customHeight="1">
      <c r="A81" s="9">
        <v>90.0</v>
      </c>
      <c r="B81" s="9" t="s">
        <v>255</v>
      </c>
      <c r="C81" s="10" t="s">
        <v>260</v>
      </c>
      <c r="D81" s="9" t="s">
        <v>261</v>
      </c>
      <c r="E81" s="9" t="s">
        <v>262</v>
      </c>
      <c r="F81" s="9">
        <v>4.0</v>
      </c>
      <c r="G81" s="9">
        <v>8.0</v>
      </c>
      <c r="H81" s="11" t="s">
        <v>16</v>
      </c>
      <c r="I81" s="9" t="s">
        <v>263</v>
      </c>
    </row>
    <row r="82" ht="15.75" customHeight="1">
      <c r="A82" s="13">
        <v>92.0</v>
      </c>
      <c r="B82" s="13" t="s">
        <v>264</v>
      </c>
      <c r="C82" s="14" t="s">
        <v>265</v>
      </c>
      <c r="D82" s="13" t="s">
        <v>253</v>
      </c>
      <c r="E82" s="13" t="s">
        <v>266</v>
      </c>
      <c r="F82" s="13">
        <v>4.0</v>
      </c>
      <c r="G82" s="13">
        <v>28.0</v>
      </c>
      <c r="H82" s="15" t="s">
        <v>103</v>
      </c>
      <c r="I82" s="13" t="s">
        <v>267</v>
      </c>
    </row>
    <row r="83" ht="15.75" customHeight="1">
      <c r="A83" s="13">
        <v>93.0</v>
      </c>
      <c r="B83" s="13" t="s">
        <v>264</v>
      </c>
      <c r="C83" s="14" t="s">
        <v>268</v>
      </c>
      <c r="D83" s="13" t="s">
        <v>258</v>
      </c>
      <c r="E83" s="13" t="s">
        <v>258</v>
      </c>
      <c r="F83" s="13">
        <v>2.0</v>
      </c>
      <c r="G83" s="13">
        <v>14.0</v>
      </c>
      <c r="H83" s="15" t="s">
        <v>103</v>
      </c>
      <c r="I83" s="13" t="s">
        <v>269</v>
      </c>
    </row>
    <row r="84" ht="15.75" customHeight="1">
      <c r="A84" s="13">
        <v>94.0</v>
      </c>
      <c r="B84" s="13" t="s">
        <v>264</v>
      </c>
      <c r="C84" s="14" t="s">
        <v>270</v>
      </c>
      <c r="D84" s="13" t="s">
        <v>271</v>
      </c>
      <c r="E84" s="13" t="s">
        <v>271</v>
      </c>
      <c r="F84" s="13">
        <v>2.0</v>
      </c>
      <c r="G84" s="13">
        <v>14.0</v>
      </c>
      <c r="H84" s="15" t="s">
        <v>103</v>
      </c>
      <c r="I84" s="13" t="s">
        <v>269</v>
      </c>
    </row>
    <row r="85" ht="15.75" customHeight="1">
      <c r="A85" s="13">
        <v>96.0</v>
      </c>
      <c r="B85" s="13" t="s">
        <v>272</v>
      </c>
      <c r="C85" s="14" t="s">
        <v>273</v>
      </c>
      <c r="D85" s="13" t="s">
        <v>261</v>
      </c>
      <c r="E85" s="13" t="s">
        <v>261</v>
      </c>
      <c r="F85" s="13">
        <v>2.0</v>
      </c>
      <c r="G85" s="13">
        <v>20.0</v>
      </c>
      <c r="H85" s="15" t="s">
        <v>274</v>
      </c>
      <c r="I85" s="13" t="s">
        <v>254</v>
      </c>
    </row>
    <row r="86" ht="15.75" customHeight="1">
      <c r="A86" s="13">
        <v>97.0</v>
      </c>
      <c r="B86" s="13" t="s">
        <v>272</v>
      </c>
      <c r="C86" s="14" t="s">
        <v>275</v>
      </c>
      <c r="D86" s="13" t="s">
        <v>276</v>
      </c>
      <c r="E86" s="13" t="s">
        <v>276</v>
      </c>
      <c r="F86" s="13">
        <v>2.0</v>
      </c>
      <c r="G86" s="13">
        <v>20.0</v>
      </c>
      <c r="H86" s="15" t="s">
        <v>103</v>
      </c>
      <c r="I86" s="13" t="s">
        <v>277</v>
      </c>
    </row>
    <row r="87" ht="15.75" customHeight="1">
      <c r="A87" s="13">
        <v>98.0</v>
      </c>
      <c r="B87" s="13" t="s">
        <v>272</v>
      </c>
      <c r="C87" s="14" t="s">
        <v>278</v>
      </c>
      <c r="D87" s="13" t="s">
        <v>262</v>
      </c>
      <c r="E87" s="13" t="s">
        <v>262</v>
      </c>
      <c r="F87" s="13">
        <v>2.0</v>
      </c>
      <c r="G87" s="13">
        <v>14.0</v>
      </c>
      <c r="H87" s="15" t="s">
        <v>274</v>
      </c>
      <c r="I87" s="13" t="s">
        <v>254</v>
      </c>
    </row>
    <row r="88" ht="15.75" customHeight="1">
      <c r="A88" s="6" t="s">
        <v>279</v>
      </c>
      <c r="B88" s="7"/>
      <c r="C88" s="7"/>
      <c r="D88" s="7"/>
      <c r="E88" s="7"/>
      <c r="F88" s="7"/>
      <c r="G88" s="7"/>
      <c r="H88" s="7"/>
      <c r="I88" s="8"/>
    </row>
    <row r="89" ht="15.75" customHeight="1">
      <c r="A89" s="9">
        <v>101.0</v>
      </c>
      <c r="B89" s="9" t="s">
        <v>280</v>
      </c>
      <c r="C89" s="10" t="s">
        <v>281</v>
      </c>
      <c r="D89" s="9" t="s">
        <v>271</v>
      </c>
      <c r="E89" s="9" t="s">
        <v>271</v>
      </c>
      <c r="F89" s="9">
        <v>1.0</v>
      </c>
      <c r="G89" s="9">
        <v>8.0</v>
      </c>
      <c r="H89" s="11" t="s">
        <v>282</v>
      </c>
      <c r="I89" s="9" t="s">
        <v>283</v>
      </c>
    </row>
    <row r="90" ht="15.75" customHeight="1">
      <c r="A90" s="9">
        <v>102.0</v>
      </c>
      <c r="B90" s="9" t="s">
        <v>280</v>
      </c>
      <c r="C90" s="10" t="s">
        <v>284</v>
      </c>
      <c r="D90" s="9" t="s">
        <v>285</v>
      </c>
      <c r="E90" s="9" t="s">
        <v>285</v>
      </c>
      <c r="F90" s="9">
        <v>1.0</v>
      </c>
      <c r="G90" s="9">
        <v>8.0</v>
      </c>
      <c r="H90" s="11" t="s">
        <v>103</v>
      </c>
      <c r="I90" s="9" t="s">
        <v>286</v>
      </c>
    </row>
    <row r="91" ht="15.75" customHeight="1">
      <c r="A91" s="13">
        <v>104.0</v>
      </c>
      <c r="B91" s="13" t="s">
        <v>287</v>
      </c>
      <c r="C91" s="14" t="s">
        <v>288</v>
      </c>
      <c r="D91" s="13" t="s">
        <v>285</v>
      </c>
      <c r="E91" s="13" t="s">
        <v>285</v>
      </c>
      <c r="F91" s="13">
        <v>1.0</v>
      </c>
      <c r="G91" s="13">
        <v>8.0</v>
      </c>
      <c r="H91" s="15" t="s">
        <v>103</v>
      </c>
      <c r="I91" s="13" t="s">
        <v>289</v>
      </c>
    </row>
    <row r="92" ht="15.75" customHeight="1">
      <c r="A92" s="13">
        <v>105.0</v>
      </c>
      <c r="B92" s="13" t="s">
        <v>287</v>
      </c>
      <c r="C92" s="14" t="s">
        <v>290</v>
      </c>
      <c r="D92" s="13" t="s">
        <v>62</v>
      </c>
      <c r="E92" s="13" t="s">
        <v>62</v>
      </c>
      <c r="F92" s="13">
        <v>1.0</v>
      </c>
      <c r="G92" s="13">
        <v>8.0</v>
      </c>
      <c r="H92" s="15" t="s">
        <v>103</v>
      </c>
      <c r="I92" s="13" t="s">
        <v>291</v>
      </c>
    </row>
    <row r="93" ht="15.75" customHeight="1">
      <c r="A93" s="9">
        <v>107.0</v>
      </c>
      <c r="B93" s="9" t="s">
        <v>292</v>
      </c>
      <c r="C93" s="10" t="s">
        <v>293</v>
      </c>
      <c r="D93" s="9" t="s">
        <v>285</v>
      </c>
      <c r="E93" s="9" t="s">
        <v>63</v>
      </c>
      <c r="F93" s="9">
        <v>4.0</v>
      </c>
      <c r="G93" s="9">
        <v>4.0</v>
      </c>
      <c r="H93" s="11" t="s">
        <v>294</v>
      </c>
      <c r="I93" s="9" t="s">
        <v>295</v>
      </c>
    </row>
    <row r="94" ht="15.75" customHeight="1">
      <c r="A94" s="9">
        <v>108.0</v>
      </c>
      <c r="B94" s="9" t="s">
        <v>292</v>
      </c>
      <c r="C94" s="10" t="s">
        <v>296</v>
      </c>
      <c r="D94" s="9" t="s">
        <v>66</v>
      </c>
      <c r="E94" s="9" t="s">
        <v>55</v>
      </c>
      <c r="F94" s="9">
        <v>4.0</v>
      </c>
      <c r="G94" s="9">
        <v>4.0</v>
      </c>
      <c r="H94" s="11" t="s">
        <v>294</v>
      </c>
      <c r="I94" s="9" t="s">
        <v>297</v>
      </c>
    </row>
    <row r="95" ht="15.75" customHeight="1">
      <c r="A95" s="9">
        <v>109.0</v>
      </c>
      <c r="B95" s="9" t="s">
        <v>292</v>
      </c>
      <c r="C95" s="10" t="s">
        <v>298</v>
      </c>
      <c r="D95" s="9" t="s">
        <v>299</v>
      </c>
      <c r="E95" s="9" t="s">
        <v>299</v>
      </c>
      <c r="F95" s="9">
        <v>1.0</v>
      </c>
      <c r="G95" s="9">
        <v>2.0</v>
      </c>
      <c r="H95" s="11" t="s">
        <v>300</v>
      </c>
      <c r="I95" s="9"/>
    </row>
    <row r="96" ht="15.75" customHeight="1">
      <c r="A96" s="9">
        <v>111.0</v>
      </c>
      <c r="B96" s="9" t="s">
        <v>301</v>
      </c>
      <c r="C96" s="10" t="s">
        <v>302</v>
      </c>
      <c r="D96" s="9" t="s">
        <v>299</v>
      </c>
      <c r="E96" s="9" t="s">
        <v>299</v>
      </c>
      <c r="F96" s="9">
        <v>1.0</v>
      </c>
      <c r="G96" s="9">
        <v>4.0</v>
      </c>
      <c r="H96" s="11" t="s">
        <v>103</v>
      </c>
      <c r="I96" s="9" t="s">
        <v>303</v>
      </c>
    </row>
    <row r="97" ht="15.75" customHeight="1">
      <c r="A97" s="9">
        <v>112.0</v>
      </c>
      <c r="B97" s="9" t="s">
        <v>301</v>
      </c>
      <c r="C97" s="10" t="s">
        <v>304</v>
      </c>
      <c r="D97" s="9" t="s">
        <v>271</v>
      </c>
      <c r="E97" s="9" t="s">
        <v>62</v>
      </c>
      <c r="F97" s="9">
        <v>4.0</v>
      </c>
      <c r="G97" s="9">
        <v>4.0</v>
      </c>
      <c r="H97" s="11" t="s">
        <v>294</v>
      </c>
      <c r="I97" s="9" t="s">
        <v>305</v>
      </c>
    </row>
    <row r="98" ht="15.75" customHeight="1">
      <c r="A98" s="13">
        <v>113.0</v>
      </c>
      <c r="B98" s="13" t="s">
        <v>301</v>
      </c>
      <c r="C98" s="14" t="s">
        <v>306</v>
      </c>
      <c r="D98" s="13" t="s">
        <v>271</v>
      </c>
      <c r="E98" s="13" t="s">
        <v>271</v>
      </c>
      <c r="F98" s="13">
        <v>1.0</v>
      </c>
      <c r="G98" s="13">
        <v>8.0</v>
      </c>
      <c r="H98" s="15" t="s">
        <v>115</v>
      </c>
      <c r="I98" s="13" t="s">
        <v>305</v>
      </c>
    </row>
    <row r="99" ht="15.75" customHeight="1">
      <c r="A99" s="9">
        <v>115.0</v>
      </c>
      <c r="B99" s="9" t="s">
        <v>307</v>
      </c>
      <c r="C99" s="10" t="s">
        <v>308</v>
      </c>
      <c r="D99" s="9" t="s">
        <v>271</v>
      </c>
      <c r="E99" s="9" t="s">
        <v>271</v>
      </c>
      <c r="F99" s="9">
        <v>2.0</v>
      </c>
      <c r="G99" s="9">
        <v>4.0</v>
      </c>
      <c r="H99" s="11" t="s">
        <v>16</v>
      </c>
      <c r="I99" s="9" t="s">
        <v>305</v>
      </c>
    </row>
    <row r="100" ht="15.75" customHeight="1">
      <c r="A100" s="9">
        <v>116.0</v>
      </c>
      <c r="B100" s="9" t="s">
        <v>307</v>
      </c>
      <c r="C100" s="10" t="s">
        <v>309</v>
      </c>
      <c r="D100" s="9" t="s">
        <v>59</v>
      </c>
      <c r="E100" s="9" t="s">
        <v>59</v>
      </c>
      <c r="F100" s="9">
        <v>1.0</v>
      </c>
      <c r="G100" s="9">
        <v>2.0</v>
      </c>
      <c r="H100" s="11" t="s">
        <v>16</v>
      </c>
      <c r="I100" s="9" t="s">
        <v>64</v>
      </c>
    </row>
    <row r="101" ht="15.75" customHeight="1">
      <c r="A101" s="9">
        <v>117.0</v>
      </c>
      <c r="B101" s="9" t="s">
        <v>307</v>
      </c>
      <c r="C101" s="10" t="s">
        <v>310</v>
      </c>
      <c r="D101" s="9" t="s">
        <v>55</v>
      </c>
      <c r="E101" s="9" t="s">
        <v>55</v>
      </c>
      <c r="F101" s="9">
        <v>1.0</v>
      </c>
      <c r="G101" s="9">
        <v>2.0</v>
      </c>
      <c r="H101" s="11" t="s">
        <v>21</v>
      </c>
      <c r="I101" s="9" t="s">
        <v>311</v>
      </c>
    </row>
    <row r="102" ht="15.75" customHeight="1">
      <c r="A102" s="6" t="s">
        <v>312</v>
      </c>
      <c r="B102" s="7"/>
      <c r="C102" s="7"/>
      <c r="D102" s="7"/>
      <c r="E102" s="7"/>
      <c r="F102" s="8"/>
      <c r="G102" s="16">
        <v>1071.0</v>
      </c>
      <c r="H102" s="17"/>
      <c r="I102" s="1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</row>
  </sheetData>
  <mergeCells count="8">
    <mergeCell ref="A1:I1"/>
    <mergeCell ref="A2:I2"/>
    <mergeCell ref="A4:I4"/>
    <mergeCell ref="A23:I23"/>
    <mergeCell ref="A44:I44"/>
    <mergeCell ref="A73:I73"/>
    <mergeCell ref="A88:I88"/>
    <mergeCell ref="A102:F10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18.14"/>
    <col customWidth="1" min="3" max="4" width="14.0"/>
    <col customWidth="1" min="5" max="5" width="18.0"/>
    <col customWidth="1" min="6" max="6" width="14.0"/>
    <col customWidth="1" min="7" max="7" width="18.0"/>
    <col customWidth="1" min="8" max="8" width="16.0"/>
    <col customWidth="1" min="9" max="9" width="30.0"/>
  </cols>
  <sheetData>
    <row r="1" ht="27.75" customHeight="1">
      <c r="A1" s="1" t="s">
        <v>313</v>
      </c>
      <c r="B1" s="2"/>
      <c r="C1" s="2"/>
      <c r="D1" s="2"/>
      <c r="E1" s="2"/>
      <c r="F1" s="2"/>
      <c r="G1" s="2"/>
      <c r="H1" s="2"/>
      <c r="I1" s="3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8.0" customHeight="1">
      <c r="A2" s="19" t="s">
        <v>314</v>
      </c>
      <c r="B2" s="2"/>
      <c r="C2" s="2"/>
      <c r="D2" s="2"/>
      <c r="E2" s="2"/>
      <c r="F2" s="2"/>
      <c r="G2" s="2"/>
      <c r="H2" s="2"/>
      <c r="I2" s="3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9.5" customHeight="1">
      <c r="A3" s="5" t="s">
        <v>315</v>
      </c>
      <c r="B3" s="5" t="s">
        <v>316</v>
      </c>
      <c r="C3" s="5" t="s">
        <v>317</v>
      </c>
      <c r="D3" s="5" t="s">
        <v>318</v>
      </c>
      <c r="E3" s="5" t="s">
        <v>319</v>
      </c>
      <c r="F3" s="5" t="s">
        <v>320</v>
      </c>
      <c r="G3" s="5" t="s">
        <v>321</v>
      </c>
      <c r="H3" s="5" t="s">
        <v>322</v>
      </c>
      <c r="I3" s="5" t="s">
        <v>323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5.75" customHeight="1">
      <c r="A4" s="20" t="s">
        <v>16</v>
      </c>
      <c r="B4" s="21" t="s">
        <v>324</v>
      </c>
      <c r="C4" s="21">
        <v>40.0</v>
      </c>
      <c r="D4" s="21">
        <v>4.0</v>
      </c>
      <c r="E4" s="21">
        <v>160.0</v>
      </c>
      <c r="F4" s="21">
        <v>142.0</v>
      </c>
      <c r="G4" s="21">
        <v>18.0</v>
      </c>
      <c r="H4" s="21" t="s">
        <v>325</v>
      </c>
      <c r="I4" s="21" t="s">
        <v>326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5.75" customHeight="1">
      <c r="A5" s="22" t="s">
        <v>35</v>
      </c>
      <c r="B5" s="23" t="s">
        <v>327</v>
      </c>
      <c r="C5" s="23">
        <v>20.0</v>
      </c>
      <c r="D5" s="23">
        <v>4.0</v>
      </c>
      <c r="E5" s="23">
        <v>80.0</v>
      </c>
      <c r="F5" s="23">
        <v>49.0</v>
      </c>
      <c r="G5" s="23">
        <v>31.0</v>
      </c>
      <c r="H5" s="23" t="s">
        <v>328</v>
      </c>
      <c r="I5" s="23" t="s">
        <v>326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5.75" customHeight="1">
      <c r="A6" s="22" t="s">
        <v>103</v>
      </c>
      <c r="B6" s="23" t="s">
        <v>329</v>
      </c>
      <c r="C6" s="23">
        <v>110.0</v>
      </c>
      <c r="D6" s="23">
        <v>3.0</v>
      </c>
      <c r="E6" s="23">
        <v>330.0</v>
      </c>
      <c r="F6" s="23">
        <v>273.0</v>
      </c>
      <c r="G6" s="23">
        <v>57.0</v>
      </c>
      <c r="H6" s="23" t="s">
        <v>330</v>
      </c>
      <c r="I6" s="23" t="s">
        <v>326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75" customHeight="1">
      <c r="A7" s="22" t="s">
        <v>115</v>
      </c>
      <c r="B7" s="23" t="s">
        <v>329</v>
      </c>
      <c r="C7" s="23">
        <v>110.0</v>
      </c>
      <c r="D7" s="23">
        <v>3.0</v>
      </c>
      <c r="E7" s="23">
        <v>330.0</v>
      </c>
      <c r="F7" s="23">
        <v>257.0</v>
      </c>
      <c r="G7" s="23">
        <v>73.0</v>
      </c>
      <c r="H7" s="23" t="s">
        <v>331</v>
      </c>
      <c r="I7" s="23" t="s">
        <v>326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75" customHeight="1">
      <c r="A8" s="22" t="s">
        <v>189</v>
      </c>
      <c r="B8" s="23" t="s">
        <v>329</v>
      </c>
      <c r="C8" s="23">
        <v>110.0</v>
      </c>
      <c r="D8" s="23">
        <v>3.0</v>
      </c>
      <c r="E8" s="23">
        <v>330.0</v>
      </c>
      <c r="F8" s="23">
        <v>309.0</v>
      </c>
      <c r="G8" s="23">
        <v>21.0</v>
      </c>
      <c r="H8" s="23" t="s">
        <v>332</v>
      </c>
      <c r="I8" s="23" t="s">
        <v>326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75" customHeight="1">
      <c r="A9" s="22" t="s">
        <v>294</v>
      </c>
      <c r="B9" s="23" t="s">
        <v>333</v>
      </c>
      <c r="C9" s="23">
        <v>20.0</v>
      </c>
      <c r="D9" s="23">
        <v>1.0</v>
      </c>
      <c r="E9" s="23">
        <v>20.0</v>
      </c>
      <c r="F9" s="23">
        <v>17.0</v>
      </c>
      <c r="G9" s="23">
        <v>3.0</v>
      </c>
      <c r="H9" s="23" t="s">
        <v>334</v>
      </c>
      <c r="I9" s="23" t="s">
        <v>326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51.75" customHeight="1">
      <c r="A11" s="24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3">
    <mergeCell ref="A1:I1"/>
    <mergeCell ref="A2:I2"/>
    <mergeCell ref="A11:I1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16.0"/>
    <col customWidth="1" min="4" max="4" width="12.0"/>
    <col customWidth="1" min="5" max="7" width="18.0"/>
  </cols>
  <sheetData>
    <row r="1" ht="27.75" customHeight="1">
      <c r="A1" s="1" t="s">
        <v>335</v>
      </c>
      <c r="B1" s="2"/>
      <c r="C1" s="2"/>
      <c r="D1" s="2"/>
      <c r="E1" s="2"/>
      <c r="F1" s="2"/>
      <c r="G1" s="3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9.5" customHeight="1">
      <c r="A3" s="25" t="s">
        <v>336</v>
      </c>
      <c r="B3" s="7"/>
      <c r="C3" s="7"/>
      <c r="D3" s="7"/>
      <c r="E3" s="7"/>
      <c r="F3" s="7"/>
      <c r="G3" s="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8.0" customHeight="1">
      <c r="A4" s="5" t="s">
        <v>315</v>
      </c>
      <c r="B4" s="5" t="s">
        <v>316</v>
      </c>
      <c r="C4" s="5" t="s">
        <v>320</v>
      </c>
      <c r="D4" s="5" t="s">
        <v>337</v>
      </c>
      <c r="E4" s="5" t="s">
        <v>338</v>
      </c>
      <c r="F4" s="5" t="s">
        <v>339</v>
      </c>
      <c r="G4" s="5" t="s">
        <v>340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5.75" customHeight="1">
      <c r="A5" s="22" t="s">
        <v>16</v>
      </c>
      <c r="B5" s="23" t="s">
        <v>324</v>
      </c>
      <c r="C5" s="23">
        <v>142.0</v>
      </c>
      <c r="D5" s="23">
        <v>30.0</v>
      </c>
      <c r="E5" s="23">
        <v>4260.0</v>
      </c>
      <c r="F5" s="23">
        <v>4800.0</v>
      </c>
      <c r="G5" s="23">
        <v>-540.0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5.75" customHeight="1">
      <c r="A6" s="22" t="s">
        <v>35</v>
      </c>
      <c r="B6" s="23" t="s">
        <v>327</v>
      </c>
      <c r="C6" s="23">
        <v>49.0</v>
      </c>
      <c r="D6" s="23">
        <v>30.0</v>
      </c>
      <c r="E6" s="23">
        <v>1470.0</v>
      </c>
      <c r="F6" s="23">
        <v>2400.0</v>
      </c>
      <c r="G6" s="23">
        <v>-930.0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75" customHeight="1">
      <c r="A7" s="22" t="s">
        <v>103</v>
      </c>
      <c r="B7" s="23" t="s">
        <v>329</v>
      </c>
      <c r="C7" s="23">
        <v>273.0</v>
      </c>
      <c r="D7" s="23">
        <v>25.0</v>
      </c>
      <c r="E7" s="23">
        <v>6825.0</v>
      </c>
      <c r="F7" s="23">
        <v>8250.0</v>
      </c>
      <c r="G7" s="23">
        <v>-1425.0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75" customHeight="1">
      <c r="A8" s="22" t="s">
        <v>115</v>
      </c>
      <c r="B8" s="23" t="s">
        <v>329</v>
      </c>
      <c r="C8" s="23">
        <v>257.0</v>
      </c>
      <c r="D8" s="23">
        <v>25.0</v>
      </c>
      <c r="E8" s="23">
        <v>6425.0</v>
      </c>
      <c r="F8" s="23">
        <v>8250.0</v>
      </c>
      <c r="G8" s="23">
        <v>-1825.0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75" customHeight="1">
      <c r="A9" s="22" t="s">
        <v>189</v>
      </c>
      <c r="B9" s="23" t="s">
        <v>329</v>
      </c>
      <c r="C9" s="23">
        <v>309.0</v>
      </c>
      <c r="D9" s="23">
        <v>25.0</v>
      </c>
      <c r="E9" s="23">
        <v>7725.0</v>
      </c>
      <c r="F9" s="23">
        <v>8250.0</v>
      </c>
      <c r="G9" s="23">
        <v>-525.0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75" customHeight="1">
      <c r="A10" s="22" t="s">
        <v>294</v>
      </c>
      <c r="B10" s="23" t="s">
        <v>333</v>
      </c>
      <c r="C10" s="23">
        <v>17.0</v>
      </c>
      <c r="D10" s="23">
        <v>25.0</v>
      </c>
      <c r="E10" s="23">
        <v>425.0</v>
      </c>
      <c r="F10" s="23">
        <v>500.0</v>
      </c>
      <c r="G10" s="23">
        <v>-75.0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9.5" customHeight="1">
      <c r="A11" s="26" t="s">
        <v>341</v>
      </c>
      <c r="B11" s="16"/>
      <c r="C11" s="16">
        <f>SUM(C5:C10)</f>
        <v>1047</v>
      </c>
      <c r="D11" s="16"/>
      <c r="E11" s="16">
        <f t="shared" ref="E11:G11" si="1">SUM(E5:E10)</f>
        <v>27130</v>
      </c>
      <c r="F11" s="16">
        <f t="shared" si="1"/>
        <v>32450</v>
      </c>
      <c r="G11" s="16">
        <f t="shared" si="1"/>
        <v>-5320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9.5" customHeight="1">
      <c r="A13" s="27" t="s">
        <v>342</v>
      </c>
      <c r="B13" s="2"/>
      <c r="C13" s="2"/>
      <c r="D13" s="2"/>
      <c r="E13" s="2"/>
      <c r="F13" s="2"/>
      <c r="G13" s="3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8" t="s">
        <v>343</v>
      </c>
      <c r="B14" s="28" t="s">
        <v>344</v>
      </c>
      <c r="C14" s="28" t="s">
        <v>345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5.0" customHeight="1">
      <c r="A15" s="29" t="s">
        <v>346</v>
      </c>
      <c r="B15" s="30" t="s">
        <v>347</v>
      </c>
      <c r="C15" s="31">
        <v>0.0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5.0" customHeight="1">
      <c r="A16" s="32" t="s">
        <v>348</v>
      </c>
      <c r="B16" s="33" t="s">
        <v>349</v>
      </c>
      <c r="C16" s="34">
        <v>0.0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5.0" customHeight="1">
      <c r="A17" s="29" t="s">
        <v>350</v>
      </c>
      <c r="B17" s="30" t="s">
        <v>349</v>
      </c>
      <c r="C17" s="31">
        <v>0.0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5.0" customHeight="1">
      <c r="A18" s="32" t="s">
        <v>351</v>
      </c>
      <c r="B18" s="33" t="s">
        <v>352</v>
      </c>
      <c r="C18" s="34">
        <v>0.0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39.75" customHeight="1">
      <c r="A20" s="35" t="s">
        <v>353</v>
      </c>
      <c r="B20" s="2"/>
      <c r="C20" s="2"/>
      <c r="D20" s="2"/>
      <c r="E20" s="2"/>
      <c r="F20" s="2"/>
      <c r="G20" s="3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4">
    <mergeCell ref="A1:G1"/>
    <mergeCell ref="A3:G3"/>
    <mergeCell ref="A13:G13"/>
    <mergeCell ref="A20:G20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2026-05-03T14:19:31Z</dcterms:created>
  <dc:creator>openpyxl</dc:creator>
</cp:coreProperties>
</file>